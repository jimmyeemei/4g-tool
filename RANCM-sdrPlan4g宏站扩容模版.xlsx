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 firstSheet="1" activeTab="1"/>
  </bookViews>
  <sheets>
    <sheet name="RANCM-sdrPlan" sheetId="1" r:id="rId1"/>
    <sheet name="填表说明" sheetId="4" r:id="rId2"/>
    <sheet name="RRU" sheetId="8" r:id="rId3"/>
    <sheet name="基带板主控板说明" sheetId="3" r:id="rId4"/>
    <sheet name="RRU频段及通道配置TDD" sheetId="5" r:id="rId5"/>
    <sheet name="RRU频段及通道配置FDD" sheetId="6" r:id="rId6"/>
    <sheet name="SCTP描述信息" sheetId="7" r:id="rId7"/>
  </sheets>
  <definedNames>
    <definedName name="_xlnm._FilterDatabase" localSheetId="4" hidden="1">RRU频段及通道配置TDD!$A$1:$R$27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<sst xmlns="http://schemas.openxmlformats.org/spreadsheetml/2006/main" count="1838" uniqueCount="455">
  <si>
    <t>cellnum</t>
  </si>
  <si>
    <t>扩容类型</t>
  </si>
  <si>
    <t>制式</t>
  </si>
  <si>
    <t>mimType</t>
  </si>
  <si>
    <t>mimVersion</t>
  </si>
  <si>
    <t>RADIOMODE</t>
  </si>
  <si>
    <t>SWVERSION</t>
  </si>
  <si>
    <t>Slot1</t>
  </si>
  <si>
    <t>Slot2</t>
  </si>
  <si>
    <t>Slot3</t>
  </si>
  <si>
    <t>Slot4</t>
  </si>
  <si>
    <t>Slot5</t>
  </si>
  <si>
    <t>Slot6</t>
  </si>
  <si>
    <t>Slot7</t>
  </si>
  <si>
    <t>Slot8</t>
  </si>
  <si>
    <t>Slot9</t>
  </si>
  <si>
    <t>Slot10</t>
  </si>
  <si>
    <t>Slot11</t>
  </si>
  <si>
    <t>Slot12</t>
  </si>
  <si>
    <t>Slot13</t>
  </si>
  <si>
    <t>Slot14</t>
  </si>
  <si>
    <t>Slot15</t>
  </si>
  <si>
    <t>Slot16</t>
  </si>
  <si>
    <t>Slot17</t>
  </si>
  <si>
    <t>RUDevice</t>
  </si>
  <si>
    <t>userLabel1</t>
  </si>
  <si>
    <t>RUType</t>
  </si>
  <si>
    <t>functionMode</t>
  </si>
  <si>
    <t>connectModeWithUpRack</t>
  </si>
  <si>
    <t>fddServiceDscpMap</t>
  </si>
  <si>
    <t>tddServiceDscpMap</t>
  </si>
  <si>
    <t>refRfDevice</t>
  </si>
  <si>
    <t>AntProfile</t>
  </si>
  <si>
    <t>vid</t>
  </si>
  <si>
    <t>ipAddr</t>
  </si>
  <si>
    <t>networkMask</t>
  </si>
  <si>
    <t>gatewayIp</t>
  </si>
  <si>
    <t>SubNetwork</t>
  </si>
  <si>
    <t>ManagedElement</t>
  </si>
  <si>
    <t>NE_Name</t>
  </si>
  <si>
    <t>moId</t>
  </si>
  <si>
    <t>ptpDomain</t>
  </si>
  <si>
    <t>cellLocalId</t>
  </si>
  <si>
    <t>userLabel2</t>
  </si>
  <si>
    <t>pci</t>
  </si>
  <si>
    <t>tac</t>
  </si>
  <si>
    <t>rootSequenceIndex</t>
  </si>
  <si>
    <t>FDD/TDD</t>
  </si>
  <si>
    <t>ref1SdrDeviceGroup</t>
  </si>
  <si>
    <t>freqBandInd</t>
  </si>
  <si>
    <t>earfcnUl</t>
  </si>
  <si>
    <t>earfcnDl</t>
  </si>
  <si>
    <t>bandWidthDl</t>
  </si>
  <si>
    <t>bandWidthUl</t>
  </si>
  <si>
    <t>maxUeRbNumUl</t>
  </si>
  <si>
    <t>maxUeRbNumDl</t>
  </si>
  <si>
    <t>refBpDevice2</t>
  </si>
  <si>
    <t>refBpDevice</t>
  </si>
  <si>
    <t>cpSpeRefSigPwr</t>
  </si>
  <si>
    <t>antMapDlSeq</t>
  </si>
  <si>
    <t>antMapUlSeq</t>
  </si>
  <si>
    <t>upActAntBitmapSeq</t>
  </si>
  <si>
    <t>anttoPortMap</t>
  </si>
  <si>
    <t>isDelNbrAndRelation</t>
  </si>
  <si>
    <t>cellMod</t>
  </si>
  <si>
    <t>slot17</t>
  </si>
  <si>
    <t>PM,0,0</t>
  </si>
  <si>
    <t>slot6</t>
  </si>
  <si>
    <t>slot12</t>
  </si>
  <si>
    <t>小区数</t>
  </si>
  <si>
    <t>模型类型</t>
  </si>
  <si>
    <t>模型标识</t>
  </si>
  <si>
    <t>无线制式</t>
  </si>
  <si>
    <t>网元配置数据版本</t>
  </si>
  <si>
    <t>这个槽位上的单板信息</t>
  </si>
  <si>
    <t>RU设备</t>
  </si>
  <si>
    <t>RRU子架描述信息</t>
  </si>
  <si>
    <t>RU类型</t>
  </si>
  <si>
    <t>单板功能模式</t>
  </si>
  <si>
    <t>LTE FDD业务与DSCP映射(链路承载的业务将会中断。)</t>
  </si>
  <si>
    <t>TD-LTE业务与DSCP映射(链路承载的业务将会中断。)</t>
  </si>
  <si>
    <t>射频口对象</t>
  </si>
  <si>
    <t>使用的天线属性</t>
  </si>
  <si>
    <t>VLAN ID</t>
  </si>
  <si>
    <t>IP地址</t>
  </si>
  <si>
    <t>掩码</t>
  </si>
  <si>
    <t>网关IP</t>
  </si>
  <si>
    <t>对象标识</t>
  </si>
  <si>
    <t>PTP域号</t>
  </si>
  <si>
    <t>小区标识</t>
  </si>
  <si>
    <t>小区用户标识</t>
  </si>
  <si>
    <t>物理小区识别码</t>
  </si>
  <si>
    <t>跟踪区码</t>
  </si>
  <si>
    <t>PrachFDD 产生64个前缀序列的逻辑根序列的起始索引号</t>
  </si>
  <si>
    <r>
      <rPr>
        <sz val="10"/>
        <rFont val="宋体"/>
        <charset val="134"/>
      </rPr>
      <t>使用的</t>
    </r>
    <r>
      <rPr>
        <sz val="10"/>
        <rFont val="Times New Roman"/>
        <charset val="134"/>
      </rPr>
      <t>RRU</t>
    </r>
    <r>
      <rPr>
        <sz val="10"/>
        <rFont val="宋体"/>
        <charset val="134"/>
      </rPr>
      <t>（小区复位生效）</t>
    </r>
  </si>
  <si>
    <t>频段指示</t>
  </si>
  <si>
    <r>
      <rPr>
        <sz val="10"/>
        <rFont val="宋体"/>
        <charset val="134"/>
      </rPr>
      <t>上行链路的中心载频</t>
    </r>
    <r>
      <rPr>
        <sz val="10"/>
        <rFont val="Times New Roman"/>
        <charset val="134"/>
      </rPr>
      <t>(MHz)</t>
    </r>
  </si>
  <si>
    <r>
      <rPr>
        <sz val="10"/>
        <rFont val="宋体"/>
        <charset val="134"/>
      </rPr>
      <t>下行链路的中心载频</t>
    </r>
    <r>
      <rPr>
        <sz val="10"/>
        <rFont val="Times New Roman"/>
        <charset val="134"/>
      </rPr>
      <t>(MHz)</t>
    </r>
  </si>
  <si>
    <t>小区下行系统频域带宽(MHz)</t>
  </si>
  <si>
    <t>小区上行系统频域带宽(MHz)</t>
  </si>
  <si>
    <t>上行UE最大分配RB数</t>
  </si>
  <si>
    <t>下行UE最大分配RB数</t>
  </si>
  <si>
    <t>关联的基带设备</t>
  </si>
  <si>
    <t>基带资源参考信号功率(dBm)</t>
  </si>
  <si>
    <t>下行天线配置映射位图（小区复位生效）</t>
  </si>
  <si>
    <t>上行天线配置映射位图(小区复位生效)</t>
  </si>
  <si>
    <t>上行激活天线位图(小区复位生效)</t>
  </si>
  <si>
    <t>天线端口与天线通道的映射关系</t>
  </si>
  <si>
    <t>是否连带删除UME内的邻接小区、邻接关系</t>
  </si>
  <si>
    <t>小区模式（小区复位生效）</t>
  </si>
  <si>
    <t>slot16</t>
  </si>
  <si>
    <t>slot5</t>
  </si>
  <si>
    <t>slot11</t>
  </si>
  <si>
    <t>string</t>
  </si>
  <si>
    <t>string:length[0..80]</t>
  </si>
  <si>
    <t>string:length[0..128]</t>
  </si>
  <si>
    <t>string:length[0..1024]</t>
  </si>
  <si>
    <t>string:length[0..201]</t>
  </si>
  <si>
    <t>long:[-9223372036854775808..9223372036854775807]</t>
  </si>
  <si>
    <t>string:length[0..300]</t>
  </si>
  <si>
    <t>string:length[0..500]</t>
  </si>
  <si>
    <t>long:[1..4094]</t>
  </si>
  <si>
    <t>union:[ipv4-address, ipv6-address]</t>
  </si>
  <si>
    <t>union:[ipv4-address, ipv6-address]
默认值: 255.255.255.0</t>
  </si>
  <si>
    <t>union:[ipv4-address, ipv6-address]
默认值: 0.0.0.0</t>
  </si>
  <si>
    <t>string:length[1..255]</t>
  </si>
  <si>
    <t>long:[0..255]
默认值: 0</t>
  </si>
  <si>
    <t>long:[0..255]</t>
  </si>
  <si>
    <t>long:[0..503]
默认值: 0</t>
  </si>
  <si>
    <t>long:[0..65535]
默认值: 0</t>
  </si>
  <si>
    <t>long:[0..837]
默认值: 0</t>
  </si>
  <si>
    <r>
      <rPr>
        <sz val="10"/>
        <color rgb="FF002060"/>
        <rFont val="Times New Roman"/>
        <charset val="134"/>
      </rPr>
      <t xml:space="preserve">long:[1..5, 7..14, 17..28, 31..32, 46, 65..76, 85, 87..88, 101]
</t>
    </r>
    <r>
      <rPr>
        <sz val="10"/>
        <color rgb="FF002060"/>
        <rFont val="宋体"/>
        <charset val="134"/>
      </rPr>
      <t>默认值</t>
    </r>
    <r>
      <rPr>
        <sz val="10"/>
        <color rgb="FF002060"/>
        <rFont val="Times New Roman"/>
        <charset val="134"/>
      </rPr>
      <t>: 1</t>
    </r>
  </si>
  <si>
    <t>double:[410..417, 450..457.5, 663..758, 777..787, 788..798, 807..862, 880..915, 962..977, 1427..1517, 1626.5..1660.5, 1695..1785, 1850..1915, 1920..2020, 2500..2620, 3410..3490, 5150..5925]
默认值: 1930.0</t>
  </si>
  <si>
    <t>double:[420..427, 460..467.5, 617..652, 728..821, 852..894, 925..960, 1035..1057, 1427..1518, 1525..1559, 1805..1880, 1930..2020, 2110..2200, 2570..2690, 3510..3590, 5150..5925]
默认值: 2120.0</t>
  </si>
  <si>
    <t>enum:
1.4(6RB)[0]
3(15RB)[1]
5(25RB)[2]
10(50RB)[3]
15(75RB)[4]
20(100RB)[5]
8(40RB)[6]
16(80RB)[7]
4.4(23RB)[8]
2.4M[9]
2.6M[10]
2.8M[11]
4.6M[12]
4.8M[13]
7.2M[14]
7.4M[15]
7.6M[16]
7.8M[17]
8.2M[18]
8.4M[19]
8.6M[20]
8.8M[21]
9M[22]
9.2M[23]
13.2M[24]
13.6M[25]
14M[26]
17.4M[27]
17.8M[28]
18.2M[29]
18.6M[30]
7.5M[31]
14.8M[32]
默认值: 5</t>
  </si>
  <si>
    <t>enum:
2[1]
3[2]
4[3]
5[4]
6[5]
8[6]
9[7]
10[8]
12[9]
15[10]
16[11]
18[12]
20[13]
24[14]
25[15]
27[16]
30[17]
32[18]
36[19]
40[20]
45[21]
48[22]
50[23]
54[24]
60[25]
64[26]
72[27]
75[28]
80[29]
81[30]
90[31]
96[32]
100[33]
默认值: 33</t>
  </si>
  <si>
    <t>long:[1..100]
默认值: 100</t>
  </si>
  <si>
    <t>string:length[0..2000]</t>
  </si>
  <si>
    <t>string:length[0..2500]</t>
  </si>
  <si>
    <t>enum:
不连带删除[0] 
连带删除[1]
默认值: 0</t>
  </si>
  <si>
    <t>slot15</t>
  </si>
  <si>
    <t>FAB,0,0</t>
  </si>
  <si>
    <t>slot4</t>
  </si>
  <si>
    <t>slot10</t>
  </si>
  <si>
    <t>LONGITUDE</t>
  </si>
  <si>
    <t>LATITUDE</t>
  </si>
  <si>
    <t>rfAppMode</t>
  </si>
  <si>
    <t>软扩</t>
  </si>
  <si>
    <t>TDDtoTDD；FDDtoFDD</t>
  </si>
  <si>
    <t>LTE-TDD</t>
  </si>
  <si>
    <t>TDL_D_V6.10.20.00</t>
  </si>
  <si>
    <t>丰台西山湖文苑北2-ZLH-LF-201-RRU01</t>
  </si>
  <si>
    <t>R8978 M1920A</t>
  </si>
  <si>
    <t>1001</t>
  </si>
  <si>
    <t>10.152.17.202</t>
  </si>
  <si>
    <t>255.255.255.252</t>
  </si>
  <si>
    <t>10.152.17.201</t>
  </si>
  <si>
    <t>丰台西山湖文苑北2-ZLH-LF-201</t>
  </si>
  <si>
    <t>TDD-F1</t>
  </si>
  <si>
    <t>9:0</t>
  </si>
  <si>
    <t>slot14</t>
  </si>
  <si>
    <t>slot3</t>
  </si>
  <si>
    <t>slot9</t>
  </si>
  <si>
    <t>BPN2,32,100671497</t>
  </si>
  <si>
    <t>丰台西山湖文苑北2-ZLH-LF-202-RRU02</t>
  </si>
  <si>
    <t>101</t>
  </si>
  <si>
    <t>10.133.17.202</t>
  </si>
  <si>
    <t>10.133.17.201</t>
  </si>
  <si>
    <t>丰台西山湖文苑北2-ZLH-LF-202</t>
  </si>
  <si>
    <t>slot2</t>
  </si>
  <si>
    <t>slot8</t>
  </si>
  <si>
    <t>丰台西山湖文苑北2-ZLH-LF-203-RRU03</t>
  </si>
  <si>
    <t>丰台西山湖文苑北2-ZLH-LF-203</t>
  </si>
  <si>
    <t>slot13</t>
  </si>
  <si>
    <t>slot1</t>
  </si>
  <si>
    <t>CCC,0,0</t>
  </si>
  <si>
    <t>slot7</t>
  </si>
  <si>
    <t>槽位拓扑图</t>
  </si>
  <si>
    <t>对应G列，下拉公式即可</t>
  </si>
  <si>
    <t>对应BBU1槽位，用公式引用后可以隐藏</t>
  </si>
  <si>
    <t>下拉公式</t>
  </si>
  <si>
    <t>一般一个站是2行（一行中移，一行广电）</t>
  </si>
  <si>
    <t>一般一个站是2行</t>
  </si>
  <si>
    <t>根据开通频段对应配置，下拉公式即可</t>
  </si>
  <si>
    <t>一共涉及几个小区</t>
  </si>
  <si>
    <t>一共两种扩容类型</t>
  </si>
  <si>
    <t>一共四种制式</t>
  </si>
  <si>
    <t>MRSDR标识多个制式，LTE-FDD：单FDD，LTE-TDD：单TDD；根据开通制式填写</t>
  </si>
  <si>
    <t>根据模式类型对应填写</t>
  </si>
  <si>
    <t>根据开通制式填写</t>
  </si>
  <si>
    <t>根据模式标识对应填写</t>
  </si>
  <si>
    <t>主控板只能插1、2槽位</t>
  </si>
  <si>
    <t>交换板只能插3、4槽位，3-12槽位可以插基带班</t>
  </si>
  <si>
    <t>3-12槽位可以插基带班</t>
  </si>
  <si>
    <t>3-12槽位可以插基地班</t>
  </si>
  <si>
    <t>13、14槽位插环境监控板，现场无此单板，不用配置</t>
  </si>
  <si>
    <t>15槽位配置风扇板</t>
  </si>
  <si>
    <t>16、17槽位配置电源板（交流电源只支持配置一块，只能插16槽位）</t>
  </si>
  <si>
    <t>工单中RRU编号</t>
  </si>
  <si>
    <r>
      <rPr>
        <sz val="11"/>
        <color rgb="FFFF0000"/>
        <rFont val="宋体"/>
        <charset val="134"/>
        <scheme val="minor"/>
      </rPr>
      <t>工单中</t>
    </r>
    <r>
      <rPr>
        <sz val="10"/>
        <color rgb="FFFF0000"/>
        <rFont val="Arial"/>
        <charset val="0"/>
      </rPr>
      <t>RRU</t>
    </r>
    <r>
      <rPr>
        <sz val="10"/>
        <color rgb="FFFF0000"/>
        <rFont val="宋体"/>
        <charset val="0"/>
      </rPr>
      <t>名称</t>
    </r>
  </si>
  <si>
    <t>工单中RRU型号</t>
  </si>
  <si>
    <t>根据RRU型号对应填写</t>
  </si>
  <si>
    <t>对应开通制式在对应列填写默认值，如果是FDD就填在fddServiceDscpMap，如果是：0;1;2;3;4;5;6;7;8;9;10;11;12;13;14;15;16;17;18;19;20;21;22;23;24;25;26;27;28;29;30;31;32;33;34;35;36;37;38;39;40;41;42;43;44;45;46;47;48;49;50;51;52;53;54;55;56;57;58;59;60;61;62;63</t>
  </si>
  <si>
    <t>根据RRU型号填写对应RRU的通道，根据RRU频段及通道配置第3列填写</t>
  </si>
  <si>
    <t>根据开通工单中传输数据分配填写</t>
  </si>
  <si>
    <t>根据开站工单，基站ip地址</t>
  </si>
  <si>
    <t>根据传输分配IP掩码长度填写</t>
  </si>
  <si>
    <t>根据开通工单维护网关、业务网关</t>
  </si>
  <si>
    <t>1/2,1代表管理，2代表业务，不用修改</t>
  </si>
  <si>
    <t>一平面传输配置0；三平面传输需配置24；工单看基站传输设备名是几平面，3开头还是1</t>
  </si>
  <si>
    <t>根据开通工单中E-UTRANNELL中扇区编号填写</t>
  </si>
  <si>
    <t>根据开通工单中E-UTRANNELL中中文名称</t>
  </si>
  <si>
    <t>根据开通工单中工单审核及规划数据分配中PCI填写</t>
  </si>
  <si>
    <t>根据开通工单中工单审核及规划数据分配中TAC号填写</t>
  </si>
  <si>
    <t>根据开通工单中工单审核及规划数据分配中PRACH填写</t>
  </si>
  <si>
    <t>本次开站是FDD或者是TDD</t>
  </si>
  <si>
    <t>该小区对应的RRU编号</t>
  </si>
  <si>
    <t>该小区对应哪一个基带板在哪一个槽位</t>
  </si>
  <si>
    <t>填写格式：RRU对应基带板槽位号:0</t>
  </si>
  <si>
    <t>开站功率设置，E频12.2，其他频段15.2</t>
  </si>
  <si>
    <t>根据“RRU频段及通道配置sheet”表里对应的RRU型号配置</t>
  </si>
  <si>
    <t>根据“RRU频段及通道配置”表里对应的RRU型号配置</t>
  </si>
  <si>
    <t>槽位号</t>
  </si>
  <si>
    <t>设备型号</t>
  </si>
  <si>
    <t>硬扩（有新增RRU）</t>
  </si>
  <si>
    <t>MRSDR</t>
  </si>
  <si>
    <t>GFTLN_D_V5.60.20.00</t>
  </si>
  <si>
    <t>2;16;32;64</t>
  </si>
  <si>
    <t>R8854E S1800(A6A)</t>
  </si>
  <si>
    <t>管理VLAN；对应moId：1</t>
  </si>
  <si>
    <t>基站管理IP：1</t>
  </si>
  <si>
    <t>30位掩码：255.255.255.252</t>
  </si>
  <si>
    <t>维护网关：1</t>
  </si>
  <si>
    <t>FDD900</t>
  </si>
  <si>
    <t>10(50RB)[3]</t>
  </si>
  <si>
    <t>50[23]</t>
  </si>
  <si>
    <t>TDDtoFDD；FDDtoTDD</t>
  </si>
  <si>
    <t>GTDL_D_V5.60.20.00</t>
  </si>
  <si>
    <t>2;32</t>
  </si>
  <si>
    <t>CCE1,0,0</t>
  </si>
  <si>
    <t>TDD站点需要配置，FDD不用</t>
  </si>
  <si>
    <t>业务VLAN；对应对应moId：2</t>
  </si>
  <si>
    <t>基站业务IP：2</t>
  </si>
  <si>
    <t>29位掩码：255.255.255.248</t>
  </si>
  <si>
    <t>业务网关：2</t>
  </si>
  <si>
    <t>FDD1800</t>
  </si>
  <si>
    <t>20(100RB)[5]</t>
  </si>
  <si>
    <t>100[33]</t>
  </si>
  <si>
    <t>FTL_D_V6.10.20.00</t>
  </si>
  <si>
    <t>16;32</t>
  </si>
  <si>
    <t>CCE1A,0,0</t>
  </si>
  <si>
    <t>R8972E M1920A</t>
  </si>
  <si>
    <t>26位掩码：255.255.255.192</t>
  </si>
  <si>
    <t>GLN_D_V5.60.20.00</t>
  </si>
  <si>
    <t>2;16;64</t>
  </si>
  <si>
    <t>CCF1,0,0</t>
  </si>
  <si>
    <t>R8978 M1920</t>
  </si>
  <si>
    <t>特殊子帧配置</t>
  </si>
  <si>
    <t>LTE-FDD</t>
  </si>
  <si>
    <t>L_D_V6.10.20.00</t>
  </si>
  <si>
    <t>R8854 S1800(A4A)</t>
  </si>
  <si>
    <t>CCE1B,0,0</t>
  </si>
  <si>
    <t>R8852E S9000(A8A)</t>
  </si>
  <si>
    <t>TDD-F2</t>
  </si>
  <si>
    <t>R8852E S1800(A8A)</t>
  </si>
  <si>
    <t>TDD-A</t>
  </si>
  <si>
    <t>15(75RB)[4]</t>
  </si>
  <si>
    <t>75[28]</t>
  </si>
  <si>
    <t>TDD-E1</t>
  </si>
  <si>
    <t>在对应的槽位填写设备信息：slotx 设备型号，具体1内容与现场一致</t>
  </si>
  <si>
    <t>MRSDR：多个制式开通</t>
  </si>
  <si>
    <r>
      <rPr>
        <sz val="12"/>
        <rFont val="宋体"/>
        <charset val="134"/>
      </rPr>
      <t>FTL_D_V6.10.20.00</t>
    </r>
    <r>
      <rPr>
        <sz val="12"/>
        <color rgb="FFFF0000"/>
        <rFont val="宋体"/>
        <charset val="134"/>
      </rPr>
      <t>表示开通FDD+TDD</t>
    </r>
  </si>
  <si>
    <t>A9611A S26</t>
  </si>
  <si>
    <t>TDD-E2</t>
  </si>
  <si>
    <t>SlotX对应BBU的槽位，按照现场开通制式及单板槽位填写
主控板只能插到1/2槽位</t>
  </si>
  <si>
    <r>
      <rPr>
        <sz val="12"/>
        <rFont val="宋体"/>
        <charset val="134"/>
      </rPr>
      <t>GFTL_D_V5.50.10</t>
    </r>
    <r>
      <rPr>
        <sz val="12"/>
        <color rgb="FFFF0000"/>
        <rFont val="宋体"/>
        <charset val="134"/>
      </rPr>
      <t>表示开通GSM+FDD+TDD</t>
    </r>
  </si>
  <si>
    <t>R8968E M1920</t>
  </si>
  <si>
    <t>TDD-E3</t>
  </si>
  <si>
    <t>FS、CR0等交换板只能插到3/4槽位，3-12槽位都支持基带板</t>
  </si>
  <si>
    <r>
      <rPr>
        <sz val="12"/>
        <rFont val="宋体"/>
        <charset val="134"/>
      </rPr>
      <t>LN_D_V6.10.20.00</t>
    </r>
    <r>
      <rPr>
        <sz val="12"/>
        <color rgb="FFFF0000"/>
        <rFont val="宋体"/>
        <charset val="134"/>
      </rPr>
      <t>表示开通FDD+NB</t>
    </r>
  </si>
  <si>
    <t>R8928FA</t>
  </si>
  <si>
    <t>TDD-D3</t>
  </si>
  <si>
    <t>风扇只能插到15槽位，直流电源PM可以插到16/17槽位，交流电源PMAC只能插16槽位</t>
  </si>
  <si>
    <t>LTE-FDD：单FDD</t>
  </si>
  <si>
    <r>
      <rPr>
        <sz val="11"/>
        <color theme="1"/>
        <rFont val="宋体"/>
        <charset val="134"/>
        <scheme val="minor"/>
      </rPr>
      <t>L_D_V6.10.20.00</t>
    </r>
    <r>
      <rPr>
        <sz val="11"/>
        <color rgb="FFFF0000"/>
        <rFont val="宋体"/>
        <charset val="134"/>
        <scheme val="minor"/>
      </rPr>
      <t>表示开通FDD</t>
    </r>
  </si>
  <si>
    <t>TDD-D7</t>
  </si>
  <si>
    <t>LTE-TDD：单TDD</t>
  </si>
  <si>
    <r>
      <rPr>
        <sz val="11"/>
        <color theme="1"/>
        <rFont val="宋体"/>
        <charset val="134"/>
        <scheme val="minor"/>
      </rPr>
      <t>TDL_D_V6.10.20.00</t>
    </r>
    <r>
      <rPr>
        <sz val="11"/>
        <color rgb="FFFF0000"/>
        <rFont val="宋体"/>
        <charset val="134"/>
        <scheme val="minor"/>
      </rPr>
      <t>表示开通TDD</t>
    </r>
  </si>
  <si>
    <t>R8978 S2600W</t>
  </si>
  <si>
    <t>TDD-D8</t>
  </si>
  <si>
    <t>主控板配置，功能模式和主控单板工作模式都配置0，主控板只能插1、2槽位</t>
  </si>
  <si>
    <t>R8862A S1800(B6B)</t>
  </si>
  <si>
    <t>单板类型，开通的制式，根据对应RRU对应相应的功能模式，交换板只能插3、4槽位，3-12槽位可以插基带板</t>
  </si>
  <si>
    <t>R8972 M1920</t>
  </si>
  <si>
    <t>R8972E M192023</t>
  </si>
  <si>
    <t>R8968i M1920</t>
  </si>
  <si>
    <t>主控板：单板类型，功能模式，主控单板工作模式</t>
  </si>
  <si>
    <t>基带板：单板类型，无线制式，功能模式</t>
  </si>
  <si>
    <r>
      <rPr>
        <b/>
        <sz val="14"/>
        <color theme="1"/>
        <rFont val="宋体"/>
        <charset val="134"/>
        <scheme val="minor"/>
      </rPr>
      <t>说明</t>
    </r>
    <r>
      <rPr>
        <sz val="14"/>
        <color theme="1"/>
        <rFont val="宋体"/>
        <charset val="134"/>
        <scheme val="minor"/>
      </rPr>
      <t>：</t>
    </r>
    <r>
      <rPr>
        <sz val="14"/>
        <color rgb="FFFF0000"/>
        <rFont val="宋体"/>
        <charset val="134"/>
        <scheme val="minor"/>
      </rPr>
      <t>红色</t>
    </r>
    <r>
      <rPr>
        <sz val="14"/>
        <color theme="1"/>
        <rFont val="宋体"/>
        <charset val="134"/>
        <scheme val="minor"/>
      </rPr>
      <t>对应列填写行数与RRU数一致，</t>
    </r>
    <r>
      <rPr>
        <sz val="14"/>
        <color theme="8"/>
        <rFont val="宋体"/>
        <charset val="134"/>
        <scheme val="minor"/>
      </rPr>
      <t>蓝色</t>
    </r>
    <r>
      <rPr>
        <sz val="14"/>
        <color theme="1"/>
        <rFont val="宋体"/>
        <charset val="134"/>
        <scheme val="minor"/>
      </rPr>
      <t>对应行数与小区数一致，无颜色一行即可，有特殊行数会对应列有提示。</t>
    </r>
    <r>
      <rPr>
        <sz val="14"/>
        <color rgb="FF7030A0"/>
        <rFont val="宋体"/>
        <charset val="134"/>
        <scheme val="minor"/>
      </rPr>
      <t>紫色</t>
    </r>
    <r>
      <rPr>
        <sz val="14"/>
        <color theme="1"/>
        <rFont val="宋体"/>
        <charset val="134"/>
        <scheme val="minor"/>
      </rPr>
      <t>对应列为公式。填写完此表后复制数据到RANCM-sdrPlan中，粘贴转换为数值。</t>
    </r>
  </si>
  <si>
    <t>R8139 M90182326</t>
  </si>
  <si>
    <t>BPP1,16,4104</t>
  </si>
  <si>
    <t>BPN2,16,4104</t>
  </si>
  <si>
    <t>BPN2,16;64,20490</t>
  </si>
  <si>
    <t>BPP1,64,16385</t>
  </si>
  <si>
    <t>BPP1,16;64,20491</t>
  </si>
  <si>
    <t>BPQ3B,32,100671513</t>
  </si>
  <si>
    <t>BPN2,64,16385</t>
  </si>
  <si>
    <t>BPQ2,16,4104</t>
  </si>
  <si>
    <t>BPL1,16,3,1</t>
  </si>
  <si>
    <t>BPQ2,32,100671497</t>
  </si>
  <si>
    <t>UBPG3,2,0</t>
  </si>
  <si>
    <t>BPQ0,32,100671497</t>
  </si>
  <si>
    <t>FS,0,1,7</t>
  </si>
  <si>
    <t>CR0,0,100675585</t>
  </si>
  <si>
    <t>BPN0,32,100671497</t>
  </si>
  <si>
    <t>FS,0,1,8</t>
  </si>
  <si>
    <t>CR0,0,5</t>
  </si>
  <si>
    <t>FS,0,5,8</t>
  </si>
  <si>
    <t>CR0,0,104869889</t>
  </si>
  <si>
    <t>BBU机框slot号</t>
  </si>
  <si>
    <t>基带板端口号</t>
  </si>
  <si>
    <t>RRU编号</t>
  </si>
  <si>
    <t>此图为RRU连接拓扑图，包含RRU与基带板、RRU与RRU之间的光口连接关系。
RRU编号在开站工单中确定，连接拓扑结构与前台实际连接一致。</t>
  </si>
  <si>
    <t>主控板配置，功能模式和主控单板工作模式都配置0</t>
  </si>
  <si>
    <t>基带板单板类型，开通的制式，根据对应RRU对应相应的功能模式</t>
  </si>
  <si>
    <t>单板类型，功能模式，主控单板工作模式</t>
  </si>
  <si>
    <t>单板类型，无线制式，功能模式</t>
  </si>
  <si>
    <t>RRU无线制式</t>
  </si>
  <si>
    <t>RRU单板功能模式</t>
  </si>
  <si>
    <t>16</t>
  </si>
  <si>
    <t>1281</t>
  </si>
  <si>
    <t>32</t>
  </si>
  <si>
    <t>452984881</t>
  </si>
  <si>
    <t>452984833</t>
  </si>
  <si>
    <t>20</t>
  </si>
  <si>
    <t>2;16</t>
  </si>
  <si>
    <t>26</t>
  </si>
  <si>
    <t>1073741825</t>
  </si>
  <si>
    <t>64</t>
  </si>
  <si>
    <t>7</t>
  </si>
  <si>
    <t>100663297</t>
  </si>
  <si>
    <t>R8968 S2600</t>
  </si>
  <si>
    <t>PB1124F</t>
  </si>
  <si>
    <t>0</t>
  </si>
  <si>
    <t>11</t>
  </si>
  <si>
    <t>1090519041</t>
  </si>
  <si>
    <t>R8862A S1800(A6A)</t>
  </si>
  <si>
    <t>R8862A S1800(B6A)</t>
  </si>
  <si>
    <t>R8972E M1920</t>
  </si>
  <si>
    <t>A8724 M192026(A2B)</t>
  </si>
  <si>
    <t>R8972E S2600W</t>
  </si>
  <si>
    <t>R8972E S2600</t>
  </si>
  <si>
    <t>R8502 S2300</t>
  </si>
  <si>
    <t>R8972E S2300W</t>
  </si>
  <si>
    <t>BOP2</t>
  </si>
  <si>
    <t>5</t>
  </si>
  <si>
    <t>R8129 M90182326A</t>
  </si>
  <si>
    <t>536870913</t>
  </si>
  <si>
    <t>R8972E M192023A</t>
  </si>
  <si>
    <t>R8139 M90182326D</t>
  </si>
  <si>
    <t>PB1125F</t>
  </si>
  <si>
    <t>12</t>
  </si>
  <si>
    <t>R8149 M182326</t>
  </si>
  <si>
    <t>A8712 M192026</t>
  </si>
  <si>
    <t>R8978 S2600</t>
  </si>
  <si>
    <t>16;64</t>
  </si>
  <si>
    <t>18</t>
  </si>
  <si>
    <t>R8882 S1800(B6B)</t>
  </si>
  <si>
    <t>RRU型号</t>
  </si>
  <si>
    <t>支持频段</t>
  </si>
  <si>
    <t>IrAntGroup-连接的发射设备</t>
  </si>
  <si>
    <t>IrAntGroup-使用的天线属性</t>
  </si>
  <si>
    <t>Cell4GTDD-上行激活天线位图(小区复位生效)</t>
  </si>
  <si>
    <t>Cell4GTDD-天线端口与天线通道的映射关系</t>
  </si>
  <si>
    <t>开通默认配置功率</t>
  </si>
  <si>
    <t>F1/F2/A</t>
  </si>
  <si>
    <t>51:1&amp;51:2</t>
  </si>
  <si>
    <t>1;1;0;0;0;0;0;0;0;0;0;0;0;0;0;0;0;0;0;0;0;0;0;0;0;0;0;0;0;0;0;0;0;0;0;0;0;0;0;0;0;0;0;0;0;0;0;0;0;0;0;0;0;0;0;0;0;0;0;0;0;0;0;0</t>
  </si>
  <si>
    <t>0;1;15;15;15;15;15;15;15;15;15;15;15;15;15;15;15;15;15;15;15;15;15;15;15;15;15;15;15;15;15;15;15;15;15;15;15;15;15;15;15;15;15;15;15;15;15;15;15;15;15;15;15;15;15;15;15;15;15;15;15;15;15;15</t>
  </si>
  <si>
    <t>D1/D2/D3</t>
  </si>
  <si>
    <t>51:3&amp;51:4</t>
  </si>
  <si>
    <t>0;0;1;1;0;0;0;0;0;0;0;0;0;0;0;0;0;0;0;0;0;0;0;0;0;0;0;0;0;0;0;0;0;0;0;0;0;0;0;0;0;0;0;0;0;0;0;0;0;0;0;0;0;0;0;0;0;0;0;0;0;0;0;0</t>
  </si>
  <si>
    <t>15;15;0;1;15;15;15;15;15;15;15;15;15;15;15;15;15;15;15;15;15;15;15;15;15;15;15;15;15;15;15;15;15;15;15;15;15;15;15;15;15;15;15;15;15;15;15;15;15;15;15;15;15;15;15;15;15;15;15;15;15;15;15;15</t>
  </si>
  <si>
    <t>A8724 M192026</t>
  </si>
  <si>
    <t>51:1&amp;51:2&amp;51:3&amp;51:4</t>
  </si>
  <si>
    <t>1;1;1;1;0;0;0;0;0;0;0;0;0;0;0;0;0;0;0;0;0;0;0;0;0;0;0;0;0;0;0;0;0;0;0;0;0;0;0;0;0;0;0;0;0;0;0;0;0;0;0;0;0;0;0;0;0;0;0;0;0;0;0;0</t>
  </si>
  <si>
    <t>0;0;1;1;15;15;15;15;15;15;15;15;15;15;15;15;15;15;15;15;15;15;15;15;15;15;15;15;15;15;15;15;15;15;15;15;15;15;15;15;15;15;15;15;15;15;15;15;15;15;15;15;15;15;15;15;15;15;15;15;15;15;15;15</t>
  </si>
  <si>
    <t>D3/D7/D8</t>
  </si>
  <si>
    <t>51:5&amp;51:6&amp;51:7&amp;51:8</t>
  </si>
  <si>
    <t>0;0;0;0;1;1;1;1;0;0;0;0;0;0;0;0;0;0;0;0;0;0;0;0;0;0;0;0;0;0;0;0;0;0;0;0;0;0;0;0;0;0;0;0;0;0;0;0;0;0;0;0;0;0;0;0;0;0;0;0;0;0;0;0</t>
  </si>
  <si>
    <t>15;15;15;15;0;0;1;1;15;15;15;15;15;15;15;15;15;15;15;15;15;15;15;15;15;15;15;15;15;15;15;15;15;15;15;15;15;15;15;15;15;15;15;15;15;15;15;15;15;15;15;15;15;15;15;15;15;15;15;15;15;15;15;15</t>
  </si>
  <si>
    <t>E1/E2/E3</t>
  </si>
  <si>
    <t>51:2</t>
  </si>
  <si>
    <t>0;1;0;0;0;0;0;0;0;0;0;0;0;0;0;0;0;0;0;0;0;0;0;0;0;0;0;0;0;0;0;0;0;0;0;0;0;0;0;0;0;0;0;0;0;0;0;0;0;0;0;0;0;0;0;0;0;0;0;0;0;0;0;0</t>
  </si>
  <si>
    <t>15;0;15;15;15;15;15;15;15;15;15;15;15;15;15;15;15;15;15;15;15;15;15;15;15;15;15;15;15;15;15;15;15;15;15;15;15;15;15;15;15;15;15;15;15;15;15;15;15;15;15;15;15;15;15;15;15;15;15;15;15;15;15;15</t>
  </si>
  <si>
    <t>R8502 S2600</t>
  </si>
  <si>
    <t>双通道配置202；单通道配置201</t>
  </si>
  <si>
    <t>R8502E S2600</t>
  </si>
  <si>
    <t>51:1&amp;51:2&amp;51:3&amp;51:4&amp;51:5&amp;51:6&amp;51:7&amp;51:8</t>
  </si>
  <si>
    <t>1;1;1;1;1;1;1;1;0;0;0;0;0;0;0;0;0;0;0;0;0;0;0;0;0;0;0;0;0;0;0;0;0;0;0;0;0;0;0;0;0;0;0;0;0;0;0;0;0;0;0;0;0;0;0;0;0;0;0;0;0;0;0;0</t>
  </si>
  <si>
    <t>0;0;0;0;1;1;1;1;15;15;15;15;15;15;15;15;15;15;15;15;15;15;15;15;15;15;15;15;15;15;15;15;15;15;15;15;15;15;15;15;15;15;15;15;15;15;15;15;15;15;15;15;15;15;15;15;15;15;15;15;15;15;15;15</t>
  </si>
  <si>
    <t>R8972 M192023</t>
  </si>
  <si>
    <t>51:1</t>
  </si>
  <si>
    <t>1;0;0;0;0;0;0;0;0;0;0;0;0;0;0;0;0;0;0;0;0;0;0;0;0;0;0;0;0;0;0;0;0;0;0;0;0;0;0;0;0;0;0;0;0;0;0;0;0;0;0;0;0;0;0;0;0;0;0;0;0;0;0;0</t>
  </si>
  <si>
    <t>0;15;15;15;15;15;15;15;15;15;15;15;15;15;15;15;15;15;15;15;15;15;15;15;15;15;15;15;15;15;15;15;15;15;15;15;15;15;15;15;15;15;15;15;15;15;15;15;15;15;15;15;15;15;15;15;15;15;15;15;15;15;15;15</t>
  </si>
  <si>
    <t>R8972 S2300</t>
  </si>
  <si>
    <t>E1/E2</t>
  </si>
  <si>
    <t>R8972E S2300</t>
  </si>
  <si>
    <t>R8984 M192026</t>
  </si>
  <si>
    <t>1通道</t>
  </si>
  <si>
    <t>2通道</t>
  </si>
  <si>
    <t>3通道</t>
  </si>
  <si>
    <t>4通道</t>
  </si>
  <si>
    <t>Cell4GFDD-射频口对象（依RRU编号51为例）</t>
  </si>
  <si>
    <t>Cell4GFDD-下行天线配置映射位图（小区复位生效）/上行天线配置映射位图(小区复位生效)/上行激活天线位图(小区复位生效)</t>
  </si>
  <si>
    <t>Cell4GFDD-天线端口与天线通道的映射关系</t>
  </si>
  <si>
    <t>&amp;</t>
  </si>
  <si>
    <t>:1</t>
  </si>
  <si>
    <t>:2</t>
  </si>
  <si>
    <t>:3</t>
  </si>
  <si>
    <t>:4</t>
  </si>
  <si>
    <t>1;0;0;1;0;0;0;0;0;0;0;0;0;0;0;0;0;0;0;0;0;0;0;0;0;0;0;0;0;0;0;0;0;0;0;0;0;0;0;0;0;0;0;0;0;0;0;0;0;0;0;0;0;0;0;0;0;0;0;0;0;0;0;0</t>
  </si>
  <si>
    <t>0;15;15;1;15;15;15;15;15;15;15;15;15;15;15;15;15;15;15;15;15;15;15;15;15;15;15;15;15;15;15;15;15;15;15;15;15;15;15;15;15;15;15;15;15;15;15;15;15;15;15;15;15;15;15;15;15;15;15;15;15;15;15;15</t>
  </si>
  <si>
    <t>0;1;2;3;15;15;15;15;15;15;15;15;15;15;15;15;15;15;15;15;15;15;15;15;15;15;15;15;15;15;15;15;15;15;15;15;15;15;15;15;15;15;15;15;15;15;15;15;15;15;15;15;15;15;15;15;15;15;15;15;15;15;15;15</t>
  </si>
  <si>
    <t>R8862A S9000(A6A)</t>
  </si>
  <si>
    <t>TDD</t>
  </si>
  <si>
    <t>:5</t>
  </si>
  <si>
    <t>:6</t>
  </si>
  <si>
    <t>:7</t>
  </si>
  <si>
    <t>:8</t>
  </si>
  <si>
    <t>远端IP地址</t>
  </si>
  <si>
    <t>SCTP描述信息</t>
  </si>
  <si>
    <t>UniRan 12.3(GFTLN V5.50.51)</t>
  </si>
  <si>
    <t>10.178.55.160;10.178.55.161</t>
  </si>
  <si>
    <t>APP-BJBFbjAMF001BHW-01BHW012</t>
  </si>
  <si>
    <t>UniRan 12.3(GTDL V5.50.51)</t>
  </si>
  <si>
    <t>10.178.55.162;10.178.55.163</t>
  </si>
  <si>
    <t>APP-BJBFbjAMF003BHW-01BHW011</t>
  </si>
  <si>
    <t>UniRan 12.4(LTE V5.50.51)</t>
  </si>
  <si>
    <t>10.178.55.164;10.178.55.165</t>
  </si>
  <si>
    <t>APP-BJBFbjAMF005BHW-01BHW012</t>
  </si>
  <si>
    <t>UniRan 12.3(GLN V5.50.51)</t>
  </si>
  <si>
    <t>10.178.55.166;10.178.55.167</t>
  </si>
  <si>
    <t>APP-BJBFbjAMF007BHW-01BHW011</t>
  </si>
  <si>
    <t>10.178.55.32;10.178.55.33</t>
  </si>
  <si>
    <t>APP-BJLAFbjAMF002BHW-01BHW012</t>
  </si>
  <si>
    <t>10.178.55.34;10.178.55.35</t>
  </si>
  <si>
    <t>APP-BJLAFbjAMF004BHW-01BHW011</t>
  </si>
  <si>
    <t>10.178.55.36;10.178.55.37</t>
  </si>
  <si>
    <t>APP-BJLAFbjAMF006BHW-01BHW012</t>
  </si>
  <si>
    <t>10.178.55.38;10.178.55.39</t>
  </si>
  <si>
    <t>APP-BJLAFbjAMF008BHW-01BHW011</t>
  </si>
  <si>
    <t>10.69.189.48;10.69.189.49</t>
  </si>
  <si>
    <t>CBN</t>
  </si>
  <si>
    <t>10.69.189.160;10.69.189.161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</si>
</sst>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F800]dddd\,\ mmmm\ dd\,\ yyyy"/>
    <numFmt numFmtId="177" formatCode="0.0\ "/>
  </numFmts>
  <fonts count="45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color indexed="8"/>
      <name val="Times New Roman"/>
      <charset val="134"/>
    </font>
    <font>
      <sz val="12"/>
      <color rgb="FF000000"/>
      <name val="Times New Roman"/>
      <charset val="134"/>
    </font>
    <font>
      <sz val="10"/>
      <name val="Times New Roman"/>
      <charset val="134"/>
    </font>
    <font>
      <sz val="10"/>
      <name val="宋体"/>
      <charset val="134"/>
    </font>
    <font>
      <b/>
      <sz val="14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0"/>
      <name val="Arial"/>
      <charset val="0"/>
    </font>
    <font>
      <sz val="10"/>
      <name val="Times New Roman"/>
      <charset val="0"/>
    </font>
    <font>
      <sz val="10.5"/>
      <color theme="1"/>
      <name val="Calibri"/>
      <charset val="134"/>
    </font>
    <font>
      <sz val="10"/>
      <color rgb="FF002060"/>
      <name val="宋体"/>
      <charset val="134"/>
    </font>
    <font>
      <sz val="10"/>
      <color rgb="FF002060"/>
      <name val="Times New Roman"/>
      <charset val="134"/>
    </font>
    <font>
      <sz val="10.5"/>
      <color theme="1"/>
      <name val="宋体"/>
      <charset val="134"/>
    </font>
    <font>
      <sz val="10"/>
      <name val="宋体"/>
      <charset val="0"/>
    </font>
    <font>
      <sz val="11"/>
      <color rgb="FFFF00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FF0000"/>
      <name val="宋体"/>
      <charset val="134"/>
    </font>
    <font>
      <sz val="14"/>
      <color theme="1"/>
      <name val="宋体"/>
      <charset val="134"/>
      <scheme val="minor"/>
    </font>
    <font>
      <sz val="14"/>
      <color rgb="FFFF0000"/>
      <name val="宋体"/>
      <charset val="134"/>
      <scheme val="minor"/>
    </font>
    <font>
      <sz val="14"/>
      <color theme="8"/>
      <name val="宋体"/>
      <charset val="134"/>
      <scheme val="minor"/>
    </font>
    <font>
      <sz val="14"/>
      <color rgb="FF7030A0"/>
      <name val="宋体"/>
      <charset val="134"/>
      <scheme val="minor"/>
    </font>
    <font>
      <sz val="10"/>
      <color rgb="FFFF0000"/>
      <name val="Arial"/>
      <charset val="0"/>
    </font>
    <font>
      <sz val="10"/>
      <color rgb="FFFF0000"/>
      <name val="宋体"/>
      <charset val="0"/>
    </font>
  </fonts>
  <fills count="4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rgb="FFFF0000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19" borderId="17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25" fillId="0" borderId="18" applyNumberFormat="0" applyFill="0" applyAlignment="0" applyProtection="0">
      <alignment vertical="center"/>
    </xf>
    <xf numFmtId="0" fontId="26" fillId="0" borderId="19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20" borderId="20" applyNumberFormat="0" applyAlignment="0" applyProtection="0">
      <alignment vertical="center"/>
    </xf>
    <xf numFmtId="0" fontId="28" fillId="21" borderId="21" applyNumberFormat="0" applyAlignment="0" applyProtection="0">
      <alignment vertical="center"/>
    </xf>
    <xf numFmtId="0" fontId="29" fillId="21" borderId="20" applyNumberFormat="0" applyAlignment="0" applyProtection="0">
      <alignment vertical="center"/>
    </xf>
    <xf numFmtId="0" fontId="30" fillId="22" borderId="22" applyNumberFormat="0" applyAlignment="0" applyProtection="0">
      <alignment vertical="center"/>
    </xf>
    <xf numFmtId="0" fontId="31" fillId="0" borderId="23" applyNumberFormat="0" applyFill="0" applyAlignment="0" applyProtection="0">
      <alignment vertical="center"/>
    </xf>
    <xf numFmtId="0" fontId="32" fillId="0" borderId="24" applyNumberFormat="0" applyFill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</cellStyleXfs>
  <cellXfs count="93">
    <xf numFmtId="0" fontId="0" fillId="0" borderId="0" xfId="0">
      <alignment vertical="center"/>
    </xf>
    <xf numFmtId="176" fontId="1" fillId="2" borderId="1" xfId="0" applyNumberFormat="1" applyFont="1" applyFill="1" applyBorder="1" applyAlignment="1">
      <alignment horizontal="justify" wrapText="1"/>
    </xf>
    <xf numFmtId="0" fontId="1" fillId="0" borderId="0" xfId="0" applyFont="1" applyFill="1" applyAlignment="1"/>
    <xf numFmtId="176" fontId="1" fillId="0" borderId="2" xfId="0" applyNumberFormat="1" applyFont="1" applyFill="1" applyBorder="1" applyAlignment="1"/>
    <xf numFmtId="0" fontId="0" fillId="0" borderId="2" xfId="0" applyBorder="1">
      <alignment vertical="center"/>
    </xf>
    <xf numFmtId="0" fontId="2" fillId="0" borderId="2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vertical="center" wrapText="1"/>
    </xf>
    <xf numFmtId="0" fontId="2" fillId="0" borderId="3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left" vertical="center" wrapText="1"/>
    </xf>
    <xf numFmtId="46" fontId="0" fillId="0" borderId="2" xfId="0" applyNumberFormat="1" applyBorder="1">
      <alignment vertical="center"/>
    </xf>
    <xf numFmtId="0" fontId="2" fillId="0" borderId="2" xfId="0" applyFont="1" applyFill="1" applyBorder="1" applyAlignment="1">
      <alignment horizontal="center" vertical="center" wrapText="1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4" fillId="4" borderId="2" xfId="0" applyFont="1" applyFill="1" applyBorder="1" applyAlignment="1">
      <alignment horizontal="center" wrapText="1"/>
    </xf>
    <xf numFmtId="0" fontId="5" fillId="4" borderId="2" xfId="0" applyFont="1" applyFill="1" applyBorder="1" applyAlignment="1">
      <alignment horizontal="center" wrapText="1"/>
    </xf>
    <xf numFmtId="49" fontId="4" fillId="2" borderId="0" xfId="0" applyNumberFormat="1" applyFont="1" applyFill="1" applyAlignment="1"/>
    <xf numFmtId="49" fontId="4" fillId="3" borderId="0" xfId="0" applyNumberFormat="1" applyFont="1" applyFill="1" applyAlignment="1"/>
    <xf numFmtId="49" fontId="4" fillId="4" borderId="2" xfId="0" applyNumberFormat="1" applyFont="1" applyFill="1" applyBorder="1" applyAlignment="1"/>
    <xf numFmtId="0" fontId="6" fillId="0" borderId="0" xfId="0" applyFont="1">
      <alignment vertical="center"/>
    </xf>
    <xf numFmtId="0" fontId="0" fillId="5" borderId="0" xfId="0" applyFill="1" applyAlignment="1">
      <alignment horizontal="center" vertical="center"/>
    </xf>
    <xf numFmtId="0" fontId="0" fillId="5" borderId="0" xfId="0" applyFill="1" applyAlignment="1">
      <alignment vertical="center"/>
    </xf>
    <xf numFmtId="0" fontId="7" fillId="0" borderId="0" xfId="0" applyFont="1">
      <alignment vertical="center"/>
    </xf>
    <xf numFmtId="0" fontId="8" fillId="3" borderId="2" xfId="0" applyFont="1" applyFill="1" applyBorder="1">
      <alignment vertical="center"/>
    </xf>
    <xf numFmtId="0" fontId="0" fillId="6" borderId="2" xfId="0" applyFill="1" applyBorder="1">
      <alignment vertical="center"/>
    </xf>
    <xf numFmtId="0" fontId="0" fillId="7" borderId="2" xfId="0" applyFill="1" applyBorder="1">
      <alignment vertical="center"/>
    </xf>
    <xf numFmtId="0" fontId="0" fillId="8" borderId="2" xfId="0" applyFill="1" applyBorder="1">
      <alignment vertical="center"/>
    </xf>
    <xf numFmtId="0" fontId="0" fillId="9" borderId="2" xfId="0" applyFill="1" applyBorder="1">
      <alignment vertical="center"/>
    </xf>
    <xf numFmtId="0" fontId="0" fillId="10" borderId="2" xfId="0" applyFill="1" applyBorder="1">
      <alignment vertical="center"/>
    </xf>
    <xf numFmtId="0" fontId="0" fillId="11" borderId="2" xfId="0" applyFill="1" applyBorder="1">
      <alignment vertical="center"/>
    </xf>
    <xf numFmtId="0" fontId="0" fillId="0" borderId="0" xfId="0" applyAlignment="1">
      <alignment vertical="center" wrapText="1"/>
    </xf>
    <xf numFmtId="0" fontId="5" fillId="12" borderId="4" xfId="0" applyFont="1" applyFill="1" applyBorder="1" applyAlignment="1">
      <alignment horizontal="center" wrapText="1"/>
    </xf>
    <xf numFmtId="0" fontId="4" fillId="12" borderId="4" xfId="0" applyFont="1" applyFill="1" applyBorder="1" applyAlignment="1">
      <alignment horizontal="center" wrapText="1"/>
    </xf>
    <xf numFmtId="0" fontId="9" fillId="12" borderId="4" xfId="0" applyFont="1" applyFill="1" applyBorder="1" applyAlignment="1">
      <alignment horizontal="center" wrapText="1"/>
    </xf>
    <xf numFmtId="0" fontId="4" fillId="4" borderId="4" xfId="0" applyFont="1" applyFill="1" applyBorder="1" applyAlignment="1">
      <alignment horizontal="center" wrapText="1"/>
    </xf>
    <xf numFmtId="0" fontId="10" fillId="4" borderId="4" xfId="0" applyFont="1" applyFill="1" applyBorder="1" applyAlignment="1">
      <alignment horizontal="center" wrapText="1"/>
    </xf>
    <xf numFmtId="0" fontId="11" fillId="4" borderId="0" xfId="0" applyFont="1" applyFill="1">
      <alignment vertical="center"/>
    </xf>
    <xf numFmtId="0" fontId="10" fillId="12" borderId="4" xfId="0" applyFont="1" applyFill="1" applyBorder="1" applyAlignment="1">
      <alignment horizontal="center" wrapText="1"/>
    </xf>
    <xf numFmtId="0" fontId="0" fillId="13" borderId="5" xfId="0" applyFill="1" applyBorder="1" applyAlignment="1">
      <alignment horizontal="center" vertical="center"/>
    </xf>
    <xf numFmtId="0" fontId="0" fillId="6" borderId="6" xfId="0" applyFill="1" applyBorder="1">
      <alignment vertical="center"/>
    </xf>
    <xf numFmtId="0" fontId="4" fillId="14" borderId="4" xfId="0" applyFont="1" applyFill="1" applyBorder="1" applyAlignment="1">
      <alignment horizontal="center" wrapText="1"/>
    </xf>
    <xf numFmtId="0" fontId="9" fillId="14" borderId="4" xfId="0" applyFont="1" applyFill="1" applyBorder="1" applyAlignment="1">
      <alignment horizontal="center" wrapText="1"/>
    </xf>
    <xf numFmtId="0" fontId="5" fillId="14" borderId="4" xfId="0" applyFont="1" applyFill="1" applyBorder="1" applyAlignment="1">
      <alignment horizontal="center" wrapText="1"/>
    </xf>
    <xf numFmtId="0" fontId="12" fillId="14" borderId="4" xfId="0" applyFont="1" applyFill="1" applyBorder="1" applyAlignment="1">
      <alignment horizontal="center" wrapText="1"/>
    </xf>
    <xf numFmtId="0" fontId="10" fillId="14" borderId="4" xfId="0" applyFont="1" applyFill="1" applyBorder="1" applyAlignment="1">
      <alignment horizontal="center" wrapText="1"/>
    </xf>
    <xf numFmtId="0" fontId="4" fillId="15" borderId="4" xfId="0" applyFont="1" applyFill="1" applyBorder="1" applyAlignment="1">
      <alignment horizontal="center" wrapText="1"/>
    </xf>
    <xf numFmtId="0" fontId="9" fillId="15" borderId="4" xfId="0" applyFont="1" applyFill="1" applyBorder="1" applyAlignment="1">
      <alignment horizontal="center" wrapText="1"/>
    </xf>
    <xf numFmtId="0" fontId="13" fillId="15" borderId="4" xfId="0" applyFont="1" applyFill="1" applyBorder="1" applyAlignment="1">
      <alignment horizontal="center" wrapText="1"/>
    </xf>
    <xf numFmtId="0" fontId="10" fillId="15" borderId="4" xfId="0" applyFont="1" applyFill="1" applyBorder="1" applyAlignment="1">
      <alignment horizontal="center" wrapText="1"/>
    </xf>
    <xf numFmtId="0" fontId="0" fillId="13" borderId="7" xfId="0" applyFill="1" applyBorder="1" applyAlignment="1">
      <alignment horizontal="center" vertical="center"/>
    </xf>
    <xf numFmtId="0" fontId="14" fillId="0" borderId="0" xfId="0" applyFont="1">
      <alignment vertical="center"/>
    </xf>
    <xf numFmtId="0" fontId="0" fillId="0" borderId="0" xfId="0" applyAlignment="1">
      <alignment vertical="center"/>
    </xf>
    <xf numFmtId="0" fontId="0" fillId="4" borderId="8" xfId="0" applyFill="1" applyBorder="1">
      <alignment vertical="center"/>
    </xf>
    <xf numFmtId="0" fontId="0" fillId="4" borderId="2" xfId="0" applyFill="1" applyBorder="1">
      <alignment vertical="center"/>
    </xf>
    <xf numFmtId="0" fontId="0" fillId="16" borderId="8" xfId="0" applyFill="1" applyBorder="1">
      <alignment vertical="center"/>
    </xf>
    <xf numFmtId="49" fontId="4" fillId="0" borderId="0" xfId="0" applyNumberFormat="1" applyFont="1" applyFill="1" applyAlignment="1"/>
    <xf numFmtId="49" fontId="9" fillId="0" borderId="0" xfId="0" applyNumberFormat="1" applyFont="1" applyFill="1" applyAlignment="1"/>
    <xf numFmtId="0" fontId="0" fillId="16" borderId="2" xfId="0" applyFill="1" applyBorder="1">
      <alignment vertical="center"/>
    </xf>
    <xf numFmtId="0" fontId="12" fillId="16" borderId="8" xfId="0" applyFont="1" applyFill="1" applyBorder="1" applyAlignment="1">
      <alignment horizontal="center" wrapText="1"/>
    </xf>
    <xf numFmtId="49" fontId="12" fillId="4" borderId="8" xfId="0" applyNumberFormat="1" applyFont="1" applyFill="1" applyBorder="1" applyAlignment="1">
      <alignment horizontal="center" wrapText="1"/>
    </xf>
    <xf numFmtId="0" fontId="12" fillId="4" borderId="8" xfId="0" applyFont="1" applyFill="1" applyBorder="1" applyAlignment="1">
      <alignment horizontal="center" wrapText="1"/>
    </xf>
    <xf numFmtId="0" fontId="12" fillId="4" borderId="8" xfId="0" applyFont="1" applyFill="1" applyBorder="1" applyAlignment="1">
      <alignment horizontal="center"/>
    </xf>
    <xf numFmtId="0" fontId="0" fillId="13" borderId="9" xfId="0" applyFill="1" applyBorder="1" applyAlignment="1">
      <alignment horizontal="center" vertical="center"/>
    </xf>
    <xf numFmtId="49" fontId="15" fillId="0" borderId="0" xfId="0" applyNumberFormat="1" applyFont="1" applyFill="1" applyAlignment="1"/>
    <xf numFmtId="0" fontId="12" fillId="16" borderId="2" xfId="0" applyFont="1" applyFill="1" applyBorder="1" applyAlignment="1">
      <alignment horizontal="center" wrapText="1"/>
    </xf>
    <xf numFmtId="0" fontId="0" fillId="13" borderId="10" xfId="0" applyFill="1" applyBorder="1" applyAlignment="1">
      <alignment horizontal="center" vertical="center"/>
    </xf>
    <xf numFmtId="0" fontId="0" fillId="0" borderId="0" xfId="0" applyFill="1">
      <alignment vertical="center"/>
    </xf>
    <xf numFmtId="0" fontId="0" fillId="16" borderId="2" xfId="0" applyFill="1" applyBorder="1">
      <alignment vertical="center"/>
    </xf>
    <xf numFmtId="0" fontId="6" fillId="5" borderId="7" xfId="0" applyFont="1" applyFill="1" applyBorder="1" applyAlignment="1">
      <alignment horizontal="center" vertical="center"/>
    </xf>
    <xf numFmtId="0" fontId="6" fillId="5" borderId="11" xfId="0" applyFont="1" applyFill="1" applyBorder="1" applyAlignment="1">
      <alignment horizontal="center" vertical="center"/>
    </xf>
    <xf numFmtId="0" fontId="16" fillId="16" borderId="2" xfId="0" applyFont="1" applyFill="1" applyBorder="1">
      <alignment vertical="center"/>
    </xf>
    <xf numFmtId="0" fontId="6" fillId="5" borderId="12" xfId="0" applyFont="1" applyFill="1" applyBorder="1" applyAlignment="1">
      <alignment horizontal="center" vertical="center"/>
    </xf>
    <xf numFmtId="0" fontId="6" fillId="5" borderId="13" xfId="0" applyFont="1" applyFill="1" applyBorder="1" applyAlignment="1">
      <alignment horizontal="center" vertical="center"/>
    </xf>
    <xf numFmtId="0" fontId="0" fillId="17" borderId="0" xfId="0" applyFill="1">
      <alignment vertical="center"/>
    </xf>
    <xf numFmtId="0" fontId="0" fillId="17" borderId="0" xfId="0" applyFill="1" applyAlignment="1">
      <alignment horizontal="center" vertical="center"/>
    </xf>
    <xf numFmtId="0" fontId="0" fillId="17" borderId="0" xfId="0" applyFont="1" applyFill="1">
      <alignment vertical="center"/>
    </xf>
    <xf numFmtId="0" fontId="17" fillId="17" borderId="0" xfId="0" applyFont="1" applyFill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18" fillId="17" borderId="0" xfId="0" applyFont="1" applyFill="1" applyAlignment="1">
      <alignment horizontal="center" vertical="center"/>
    </xf>
    <xf numFmtId="0" fontId="18" fillId="17" borderId="0" xfId="0" applyFont="1" applyFill="1" applyAlignment="1">
      <alignment vertical="center"/>
    </xf>
    <xf numFmtId="0" fontId="6" fillId="5" borderId="14" xfId="0" applyFont="1" applyFill="1" applyBorder="1" applyAlignment="1">
      <alignment horizontal="center" vertical="center"/>
    </xf>
    <xf numFmtId="0" fontId="6" fillId="5" borderId="1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0" borderId="0" xfId="0" applyFont="1">
      <alignment vertical="center"/>
    </xf>
    <xf numFmtId="0" fontId="16" fillId="0" borderId="0" xfId="0" applyFont="1" applyAlignment="1">
      <alignment horizontal="center" vertical="center"/>
    </xf>
    <xf numFmtId="0" fontId="7" fillId="13" borderId="16" xfId="0" applyFont="1" applyFill="1" applyBorder="1" applyAlignment="1">
      <alignment vertical="center"/>
    </xf>
    <xf numFmtId="0" fontId="0" fillId="0" borderId="0" xfId="0" applyFont="1">
      <alignment vertical="center"/>
    </xf>
    <xf numFmtId="177" fontId="0" fillId="0" borderId="0" xfId="0" applyNumberForma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6" fillId="7" borderId="0" xfId="0" applyFont="1" applyFill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20" fontId="0" fillId="0" borderId="0" xfId="0" applyNumberFormat="1">
      <alignment vertical="center"/>
    </xf>
    <xf numFmtId="46" fontId="0" fillId="0" borderId="2" xfId="0" applyNumberFormat="1" applyBorder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BU22"/>
  <sheetViews>
    <sheetView workbookViewId="0">
      <selection activeCell="G6" sqref="G6"/>
    </sheetView>
  </sheetViews>
  <sheetFormatPr defaultColWidth="9" defaultRowHeight="13.5"/>
  <cols>
    <col min="6" max="6" width="22.4416666666667" customWidth="1"/>
    <col min="8" max="8" width="9" hidden="1" customWidth="1"/>
    <col min="12" max="12" width="9" hidden="1" customWidth="1"/>
    <col min="15" max="32" width="9" hidden="1" customWidth="1"/>
    <col min="35" max="35" width="14" customWidth="1"/>
    <col min="36" max="36" width="11.775"/>
    <col min="37" max="37" width="11.775" customWidth="1"/>
    <col min="38" max="39" width="9" customWidth="1"/>
    <col min="55" max="55" width="12.3333333333333" customWidth="1"/>
    <col min="56" max="56" width="17.4416666666667" customWidth="1"/>
    <col min="57" max="57" width="23.775" customWidth="1"/>
    <col min="58" max="58" width="21.775" customWidth="1"/>
    <col min="59" max="59" width="22.225" customWidth="1"/>
    <col min="60" max="60" width="13" customWidth="1"/>
    <col min="61" max="61" width="20.6666666666667" customWidth="1"/>
    <col min="63" max="63" width="9" customWidth="1"/>
    <col min="66" max="66" width="9" hidden="1" customWidth="1"/>
    <col min="67" max="72" width="9" customWidth="1"/>
  </cols>
  <sheetData>
    <row r="1" customFormat="1" ht="39" spans="1:73">
      <c r="A1" t="s">
        <v>0</v>
      </c>
      <c r="B1" s="30" t="s">
        <v>1</v>
      </c>
      <c r="C1" s="30" t="s">
        <v>2</v>
      </c>
      <c r="D1" s="31" t="s">
        <v>3</v>
      </c>
      <c r="E1" s="31" t="s">
        <v>4</v>
      </c>
      <c r="F1" s="31" t="s">
        <v>5</v>
      </c>
      <c r="G1" s="31" t="s">
        <v>6</v>
      </c>
      <c r="H1" s="32" t="s">
        <v>7</v>
      </c>
      <c r="I1" s="32" t="s">
        <v>8</v>
      </c>
      <c r="J1" s="32" t="s">
        <v>9</v>
      </c>
      <c r="K1" s="32" t="s">
        <v>10</v>
      </c>
      <c r="L1" s="32" t="s">
        <v>11</v>
      </c>
      <c r="M1" s="32" t="s">
        <v>12</v>
      </c>
      <c r="N1" s="32" t="s">
        <v>13</v>
      </c>
      <c r="O1" s="32" t="s">
        <v>14</v>
      </c>
      <c r="P1" s="32" t="s">
        <v>15</v>
      </c>
      <c r="Q1" s="32" t="s">
        <v>16</v>
      </c>
      <c r="R1" s="32" t="s">
        <v>17</v>
      </c>
      <c r="S1" s="32" t="s">
        <v>18</v>
      </c>
      <c r="T1" s="32" t="s">
        <v>19</v>
      </c>
      <c r="U1" s="32" t="s">
        <v>20</v>
      </c>
      <c r="V1" s="32" t="s">
        <v>21</v>
      </c>
      <c r="W1" s="32" t="s">
        <v>22</v>
      </c>
      <c r="X1" s="32" t="s">
        <v>23</v>
      </c>
      <c r="Y1" s="31" t="s">
        <v>24</v>
      </c>
      <c r="Z1" s="31" t="s">
        <v>25</v>
      </c>
      <c r="AA1" s="31" t="s">
        <v>26</v>
      </c>
      <c r="AB1" s="31" t="s">
        <v>27</v>
      </c>
      <c r="AC1" s="33" t="s">
        <v>28</v>
      </c>
      <c r="AD1" s="31" t="s">
        <v>29</v>
      </c>
      <c r="AE1" s="31" t="s">
        <v>30</v>
      </c>
      <c r="AF1" s="33" t="s">
        <v>31</v>
      </c>
      <c r="AG1" s="34" t="s">
        <v>32</v>
      </c>
      <c r="AH1" s="32" t="s">
        <v>33</v>
      </c>
      <c r="AI1" s="32" t="s">
        <v>34</v>
      </c>
      <c r="AJ1" s="32" t="s">
        <v>35</v>
      </c>
      <c r="AK1" s="32" t="s">
        <v>36</v>
      </c>
      <c r="AL1" s="33" t="s">
        <v>37</v>
      </c>
      <c r="AM1" s="35" t="s">
        <v>38</v>
      </c>
      <c r="AN1" s="35" t="s">
        <v>39</v>
      </c>
      <c r="AO1" s="31" t="s">
        <v>40</v>
      </c>
      <c r="AP1" s="31" t="s">
        <v>41</v>
      </c>
      <c r="AQ1" s="31" t="s">
        <v>42</v>
      </c>
      <c r="AR1" s="31" t="s">
        <v>43</v>
      </c>
      <c r="AS1" s="31" t="s">
        <v>44</v>
      </c>
      <c r="AT1" s="31" t="s">
        <v>45</v>
      </c>
      <c r="AU1" s="31" t="s">
        <v>46</v>
      </c>
      <c r="AV1" s="31" t="s">
        <v>47</v>
      </c>
      <c r="AW1" s="31" t="s">
        <v>48</v>
      </c>
      <c r="AX1" s="31" t="s">
        <v>31</v>
      </c>
      <c r="AY1" s="31" t="s">
        <v>49</v>
      </c>
      <c r="AZ1" s="31" t="s">
        <v>50</v>
      </c>
      <c r="BA1" s="31" t="s">
        <v>51</v>
      </c>
      <c r="BB1" s="31" t="s">
        <v>52</v>
      </c>
      <c r="BC1" s="31" t="s">
        <v>53</v>
      </c>
      <c r="BD1" s="31" t="s">
        <v>54</v>
      </c>
      <c r="BE1" s="31" t="s">
        <v>55</v>
      </c>
      <c r="BF1" s="31" t="s">
        <v>56</v>
      </c>
      <c r="BG1" s="31" t="s">
        <v>57</v>
      </c>
      <c r="BH1" s="31" t="s">
        <v>58</v>
      </c>
      <c r="BI1" s="31" t="s">
        <v>59</v>
      </c>
      <c r="BJ1" s="31" t="s">
        <v>60</v>
      </c>
      <c r="BK1" s="31" t="s">
        <v>61</v>
      </c>
      <c r="BL1" s="31" t="s">
        <v>62</v>
      </c>
      <c r="BM1" s="31" t="s">
        <v>63</v>
      </c>
      <c r="BN1" s="36" t="s">
        <v>32</v>
      </c>
      <c r="BO1" s="31" t="s">
        <v>64</v>
      </c>
      <c r="BP1" s="37" t="s">
        <v>65</v>
      </c>
      <c r="BQ1" s="38" t="s">
        <v>66</v>
      </c>
      <c r="BR1" s="37" t="s">
        <v>67</v>
      </c>
      <c r="BS1" s="38"/>
      <c r="BT1" s="37" t="s">
        <v>68</v>
      </c>
      <c r="BU1" s="38"/>
    </row>
    <row r="2" customFormat="1" ht="75.75" spans="1:73">
      <c r="A2" t="s">
        <v>69</v>
      </c>
      <c r="B2" s="39"/>
      <c r="C2" s="39"/>
      <c r="D2" s="39" t="s">
        <v>70</v>
      </c>
      <c r="E2" s="39" t="s">
        <v>71</v>
      </c>
      <c r="F2" s="39" t="s">
        <v>72</v>
      </c>
      <c r="G2" s="39" t="s">
        <v>73</v>
      </c>
      <c r="H2" s="40" t="s">
        <v>74</v>
      </c>
      <c r="I2" s="40" t="s">
        <v>74</v>
      </c>
      <c r="J2" s="40" t="s">
        <v>74</v>
      </c>
      <c r="K2" s="40" t="s">
        <v>74</v>
      </c>
      <c r="L2" s="40" t="s">
        <v>74</v>
      </c>
      <c r="M2" s="40" t="s">
        <v>74</v>
      </c>
      <c r="N2" s="40" t="s">
        <v>74</v>
      </c>
      <c r="O2" s="40" t="s">
        <v>74</v>
      </c>
      <c r="P2" s="40" t="s">
        <v>74</v>
      </c>
      <c r="Q2" s="40" t="s">
        <v>74</v>
      </c>
      <c r="R2" s="40" t="s">
        <v>74</v>
      </c>
      <c r="S2" s="40" t="s">
        <v>74</v>
      </c>
      <c r="T2" s="40" t="s">
        <v>74</v>
      </c>
      <c r="U2" s="40" t="s">
        <v>74</v>
      </c>
      <c r="V2" s="40" t="s">
        <v>74</v>
      </c>
      <c r="W2" s="40" t="s">
        <v>74</v>
      </c>
      <c r="X2" s="40" t="s">
        <v>74</v>
      </c>
      <c r="Y2" s="39" t="s">
        <v>75</v>
      </c>
      <c r="Z2" s="39" t="s">
        <v>76</v>
      </c>
      <c r="AA2" s="39" t="s">
        <v>77</v>
      </c>
      <c r="AB2" s="39" t="s">
        <v>78</v>
      </c>
      <c r="AC2" s="33"/>
      <c r="AD2" s="39" t="s">
        <v>79</v>
      </c>
      <c r="AE2" s="39" t="s">
        <v>80</v>
      </c>
      <c r="AF2" s="33" t="s">
        <v>81</v>
      </c>
      <c r="AG2" s="34" t="s">
        <v>82</v>
      </c>
      <c r="AH2" s="39" t="s">
        <v>83</v>
      </c>
      <c r="AI2" s="39" t="s">
        <v>84</v>
      </c>
      <c r="AJ2" s="39" t="s">
        <v>85</v>
      </c>
      <c r="AK2" s="39" t="s">
        <v>86</v>
      </c>
      <c r="AL2" s="33"/>
      <c r="AM2" s="33"/>
      <c r="AN2" s="33"/>
      <c r="AO2" s="39" t="s">
        <v>87</v>
      </c>
      <c r="AP2" s="39" t="s">
        <v>88</v>
      </c>
      <c r="AQ2" s="39" t="s">
        <v>89</v>
      </c>
      <c r="AR2" s="39" t="s">
        <v>90</v>
      </c>
      <c r="AS2" s="39" t="s">
        <v>91</v>
      </c>
      <c r="AT2" s="39" t="s">
        <v>92</v>
      </c>
      <c r="AU2" s="39" t="s">
        <v>93</v>
      </c>
      <c r="AV2" s="41"/>
      <c r="AW2" s="41" t="s">
        <v>94</v>
      </c>
      <c r="AX2" s="39" t="s">
        <v>81</v>
      </c>
      <c r="AY2" s="42" t="s">
        <v>95</v>
      </c>
      <c r="AZ2" s="41" t="s">
        <v>96</v>
      </c>
      <c r="BA2" s="41" t="s">
        <v>97</v>
      </c>
      <c r="BB2" s="39" t="s">
        <v>98</v>
      </c>
      <c r="BC2" s="39" t="s">
        <v>99</v>
      </c>
      <c r="BD2" s="39" t="s">
        <v>100</v>
      </c>
      <c r="BE2" s="39" t="s">
        <v>101</v>
      </c>
      <c r="BF2" s="39" t="s">
        <v>102</v>
      </c>
      <c r="BG2" s="39" t="s">
        <v>102</v>
      </c>
      <c r="BH2" s="39" t="s">
        <v>103</v>
      </c>
      <c r="BI2" s="39" t="s">
        <v>104</v>
      </c>
      <c r="BJ2" s="39" t="s">
        <v>105</v>
      </c>
      <c r="BK2" s="39" t="s">
        <v>106</v>
      </c>
      <c r="BL2" s="39" t="s">
        <v>107</v>
      </c>
      <c r="BM2" s="39" t="s">
        <v>108</v>
      </c>
      <c r="BN2" s="43" t="s">
        <v>82</v>
      </c>
      <c r="BO2" s="41" t="s">
        <v>109</v>
      </c>
      <c r="BP2" s="37" t="s">
        <v>110</v>
      </c>
      <c r="BQ2" s="38"/>
      <c r="BR2" s="37" t="s">
        <v>111</v>
      </c>
      <c r="BS2" s="38"/>
      <c r="BT2" s="37" t="s">
        <v>112</v>
      </c>
      <c r="BU2" s="38"/>
    </row>
    <row r="3" customFormat="1" ht="64" customHeight="1" spans="1:73">
      <c r="A3" t="s">
        <v>113</v>
      </c>
      <c r="B3" s="44"/>
      <c r="C3" s="44"/>
      <c r="D3" s="44" t="s">
        <v>114</v>
      </c>
      <c r="E3" s="44" t="s">
        <v>114</v>
      </c>
      <c r="F3" s="44" t="s">
        <v>115</v>
      </c>
      <c r="G3" s="44" t="s">
        <v>115</v>
      </c>
      <c r="H3" s="45" t="s">
        <v>115</v>
      </c>
      <c r="I3" s="45" t="s">
        <v>115</v>
      </c>
      <c r="J3" s="45" t="s">
        <v>115</v>
      </c>
      <c r="K3" s="45" t="s">
        <v>115</v>
      </c>
      <c r="L3" s="45" t="s">
        <v>115</v>
      </c>
      <c r="M3" s="45" t="s">
        <v>115</v>
      </c>
      <c r="N3" s="45" t="s">
        <v>115</v>
      </c>
      <c r="O3" s="45" t="s">
        <v>115</v>
      </c>
      <c r="P3" s="45" t="s">
        <v>115</v>
      </c>
      <c r="Q3" s="45" t="s">
        <v>115</v>
      </c>
      <c r="R3" s="45" t="s">
        <v>115</v>
      </c>
      <c r="S3" s="45" t="s">
        <v>115</v>
      </c>
      <c r="T3" s="45" t="s">
        <v>115</v>
      </c>
      <c r="U3" s="45" t="s">
        <v>115</v>
      </c>
      <c r="V3" s="45" t="s">
        <v>115</v>
      </c>
      <c r="W3" s="45" t="s">
        <v>115</v>
      </c>
      <c r="X3" s="45" t="s">
        <v>115</v>
      </c>
      <c r="Y3" s="44" t="s">
        <v>116</v>
      </c>
      <c r="Z3" s="44" t="s">
        <v>115</v>
      </c>
      <c r="AA3" s="44" t="s">
        <v>117</v>
      </c>
      <c r="AB3" s="44" t="s">
        <v>118</v>
      </c>
      <c r="AC3" s="33"/>
      <c r="AD3" s="44" t="s">
        <v>119</v>
      </c>
      <c r="AE3" s="44" t="s">
        <v>119</v>
      </c>
      <c r="AF3" s="33" t="s">
        <v>120</v>
      </c>
      <c r="AG3" s="34" t="s">
        <v>116</v>
      </c>
      <c r="AH3" s="44" t="s">
        <v>121</v>
      </c>
      <c r="AI3" s="44" t="s">
        <v>122</v>
      </c>
      <c r="AJ3" s="44" t="s">
        <v>123</v>
      </c>
      <c r="AK3" s="44" t="s">
        <v>124</v>
      </c>
      <c r="AL3" s="33"/>
      <c r="AM3" s="33"/>
      <c r="AN3" s="33"/>
      <c r="AO3" s="44" t="s">
        <v>125</v>
      </c>
      <c r="AP3" s="44" t="s">
        <v>126</v>
      </c>
      <c r="AQ3" s="44" t="s">
        <v>127</v>
      </c>
      <c r="AR3" s="44" t="s">
        <v>115</v>
      </c>
      <c r="AS3" s="44" t="s">
        <v>128</v>
      </c>
      <c r="AT3" s="44" t="s">
        <v>129</v>
      </c>
      <c r="AU3" s="44" t="s">
        <v>130</v>
      </c>
      <c r="AV3" s="44"/>
      <c r="AW3" s="44" t="s">
        <v>120</v>
      </c>
      <c r="AX3" s="44" t="s">
        <v>120</v>
      </c>
      <c r="AY3" s="46" t="s">
        <v>131</v>
      </c>
      <c r="AZ3" s="44" t="s">
        <v>132</v>
      </c>
      <c r="BA3" s="44" t="s">
        <v>133</v>
      </c>
      <c r="BB3" s="44" t="s">
        <v>134</v>
      </c>
      <c r="BC3" s="44" t="s">
        <v>134</v>
      </c>
      <c r="BD3" s="44" t="s">
        <v>135</v>
      </c>
      <c r="BE3" s="44" t="s">
        <v>136</v>
      </c>
      <c r="BF3" s="44" t="s">
        <v>120</v>
      </c>
      <c r="BG3" s="44" t="s">
        <v>120</v>
      </c>
      <c r="BH3" s="44" t="s">
        <v>120</v>
      </c>
      <c r="BI3" s="44" t="s">
        <v>137</v>
      </c>
      <c r="BJ3" s="44" t="s">
        <v>137</v>
      </c>
      <c r="BK3" s="44" t="s">
        <v>137</v>
      </c>
      <c r="BL3" s="44" t="s">
        <v>138</v>
      </c>
      <c r="BM3" s="44" t="s">
        <v>139</v>
      </c>
      <c r="BN3" s="47" t="s">
        <v>116</v>
      </c>
      <c r="BO3" s="44" t="s">
        <v>120</v>
      </c>
      <c r="BP3" s="48" t="s">
        <v>140</v>
      </c>
      <c r="BQ3" s="38" t="s">
        <v>141</v>
      </c>
      <c r="BR3" s="37" t="s">
        <v>142</v>
      </c>
      <c r="BS3" s="38"/>
      <c r="BT3" s="37" t="s">
        <v>143</v>
      </c>
      <c r="BU3" s="38"/>
    </row>
    <row r="4" customFormat="1" ht="18" customHeight="1" spans="1:73">
      <c r="B4" s="55"/>
      <c r="C4" s="55"/>
      <c r="D4" s="62"/>
      <c r="E4" s="50"/>
      <c r="F4" s="54"/>
      <c r="G4" s="50"/>
      <c r="H4" s="50"/>
      <c r="I4" s="50"/>
      <c r="J4" s="62"/>
      <c r="K4" s="62"/>
      <c r="L4" s="50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N4" s="92"/>
      <c r="AO4" s="54"/>
      <c r="AP4" s="55"/>
      <c r="AQ4" s="54"/>
      <c r="AR4" s="55"/>
    </row>
    <row r="5" customFormat="1" ht="28" customHeight="1" spans="1:73">
      <c r="B5" s="55"/>
      <c r="C5" s="55"/>
      <c r="D5" s="62"/>
      <c r="E5" s="50"/>
      <c r="F5" s="54"/>
      <c r="G5" s="50"/>
      <c r="H5" s="50"/>
      <c r="I5" s="50"/>
      <c r="J5" s="62"/>
      <c r="K5" s="62"/>
      <c r="L5" s="50"/>
      <c r="AO5" s="54"/>
      <c r="AP5" s="55"/>
      <c r="AQ5" s="54"/>
      <c r="AR5" s="55"/>
    </row>
    <row r="9" customFormat="1" ht="33" customHeight="1" spans="1:73">
      <c r="B9" s="84"/>
      <c r="C9" s="84"/>
      <c r="D9" s="84"/>
      <c r="E9" s="84"/>
      <c r="F9" s="84"/>
      <c r="G9" s="84"/>
      <c r="H9" s="84"/>
      <c r="I9" s="84"/>
      <c r="J9" s="84"/>
      <c r="K9" s="84"/>
      <c r="L9" s="84"/>
      <c r="M9" s="84"/>
      <c r="AH9" s="84"/>
      <c r="AI9" s="84"/>
      <c r="AJ9" s="84"/>
      <c r="AK9" s="84"/>
      <c r="AL9" s="84"/>
      <c r="AM9" s="84"/>
      <c r="AN9" s="84"/>
      <c r="AO9" s="84"/>
      <c r="AP9" s="84"/>
      <c r="AQ9" s="84"/>
      <c r="AR9" s="84"/>
      <c r="AS9" s="84"/>
      <c r="AT9" s="84"/>
      <c r="AU9" s="84"/>
      <c r="AV9" s="84"/>
      <c r="AW9" s="84"/>
      <c r="AX9" s="84"/>
      <c r="AY9" s="84"/>
      <c r="AZ9" s="84"/>
      <c r="BA9" s="84"/>
      <c r="BB9" s="84"/>
    </row>
    <row r="10" customFormat="1" ht="14.25" spans="1:73">
      <c r="F10" s="2"/>
      <c r="H10" s="2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G10" s="65"/>
      <c r="BC10" s="29"/>
      <c r="BD10" s="29"/>
      <c r="BE10" s="29"/>
      <c r="BF10" s="29"/>
      <c r="BG10" s="29"/>
      <c r="BH10" s="29"/>
      <c r="BI10" s="29"/>
    </row>
    <row r="11" customFormat="1" ht="14.25" spans="1:73">
      <c r="F11" s="2"/>
      <c r="H11" s="2"/>
    </row>
    <row r="12" customFormat="1" ht="14.25" spans="1:73">
      <c r="F12" s="2"/>
      <c r="H12" s="2"/>
      <c r="BH12" s="29"/>
      <c r="BI12" s="29"/>
    </row>
    <row r="13" customFormat="1" ht="14.25" spans="1:73">
      <c r="F13" s="2"/>
      <c r="H13" s="2"/>
      <c r="BG13" s="84"/>
      <c r="BH13" s="29"/>
      <c r="BI13" s="29"/>
    </row>
    <row r="14" customFormat="1" ht="14.25" spans="1:73">
      <c r="H14" s="2"/>
    </row>
    <row r="15" customFormat="1" ht="14.25" spans="1:73">
      <c r="H15" s="2"/>
      <c r="BD15" s="88"/>
      <c r="BF15" s="29"/>
    </row>
    <row r="16" customFormat="1" spans="1:73">
      <c r="BF16" s="29"/>
    </row>
    <row r="18" customFormat="1" ht="14.25" spans="6:58">
      <c r="F18" s="2"/>
    </row>
    <row r="19" customFormat="1" ht="14.25" spans="6:58">
      <c r="F19" s="2"/>
      <c r="BF19" s="29"/>
    </row>
    <row r="20" customFormat="1" ht="14.25" spans="6:58">
      <c r="F20" s="2"/>
      <c r="BD20" s="29"/>
    </row>
    <row r="21" customFormat="1" spans="6:58">
      <c r="F21" s="87"/>
    </row>
    <row r="22" customFormat="1" spans="6:58">
      <c r="F22" s="87"/>
    </row>
  </sheetData>
  <conditionalFormatting sqref="F10:F13">
    <cfRule type="duplicateValues" dxfId="0" priority="2"/>
  </conditionalFormatting>
  <conditionalFormatting sqref="F18:F20">
    <cfRule type="duplicateValues" dxfId="0" priority="1"/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BW50"/>
  <sheetViews>
    <sheetView tabSelected="1" topLeftCell="AX1" workbookViewId="0">
      <selection activeCell="AY15" sqref="AY15"/>
    </sheetView>
  </sheetViews>
  <sheetFormatPr defaultColWidth="9" defaultRowHeight="13.5"/>
  <cols>
    <col min="5" max="5" width="22.4416666666667" customWidth="1"/>
    <col min="6" max="6" width="15.875" customWidth="1"/>
    <col min="7" max="7" width="31.125" customWidth="1"/>
    <col min="8" max="24" width="9" hidden="1" customWidth="1"/>
    <col min="27" max="27" width="14" customWidth="1"/>
    <col min="28" max="28" width="11.775"/>
    <col min="29" max="30" width="11.775" customWidth="1"/>
    <col min="31" max="31" width="9" customWidth="1"/>
    <col min="33" max="33" width="9" customWidth="1"/>
    <col min="50" max="50" width="12.3333333333333" customWidth="1"/>
    <col min="51" max="51" width="17.4416666666667" customWidth="1"/>
    <col min="52" max="52" width="23.775" customWidth="1"/>
    <col min="53" max="53" width="21.775" customWidth="1"/>
    <col min="54" max="54" width="22.225" customWidth="1"/>
    <col min="55" max="55" width="13" customWidth="1"/>
    <col min="56" max="56" width="20.6666666666667" customWidth="1"/>
    <col min="63" max="63" width="8.375" customWidth="1"/>
    <col min="64" max="64" width="16.25" customWidth="1"/>
    <col min="65" max="68" width="9" customWidth="1"/>
    <col min="70" max="70" width="11.5" customWidth="1"/>
    <col min="75" max="75" width="13" customWidth="1"/>
    <col min="77" max="77" width="20.7333333333333" customWidth="1"/>
  </cols>
  <sheetData>
    <row r="1" ht="26.25" spans="1:75">
      <c r="A1" t="s">
        <v>0</v>
      </c>
      <c r="B1" s="30" t="s">
        <v>1</v>
      </c>
      <c r="C1" s="30" t="s">
        <v>2</v>
      </c>
      <c r="D1" s="31" t="s">
        <v>3</v>
      </c>
      <c r="E1" s="31" t="s">
        <v>4</v>
      </c>
      <c r="F1" s="31" t="s">
        <v>5</v>
      </c>
      <c r="G1" s="31" t="s">
        <v>6</v>
      </c>
      <c r="H1" s="32" t="s">
        <v>7</v>
      </c>
      <c r="I1" s="32" t="s">
        <v>8</v>
      </c>
      <c r="J1" s="32" t="s">
        <v>9</v>
      </c>
      <c r="K1" s="32" t="s">
        <v>10</v>
      </c>
      <c r="L1" s="32" t="s">
        <v>11</v>
      </c>
      <c r="M1" s="32" t="s">
        <v>12</v>
      </c>
      <c r="N1" s="32" t="s">
        <v>13</v>
      </c>
      <c r="O1" s="32" t="s">
        <v>14</v>
      </c>
      <c r="P1" s="32" t="s">
        <v>15</v>
      </c>
      <c r="Q1" s="32" t="s">
        <v>16</v>
      </c>
      <c r="R1" s="32" t="s">
        <v>17</v>
      </c>
      <c r="S1" s="32" t="s">
        <v>18</v>
      </c>
      <c r="T1" s="32" t="s">
        <v>19</v>
      </c>
      <c r="U1" s="32" t="s">
        <v>20</v>
      </c>
      <c r="V1" s="32" t="s">
        <v>21</v>
      </c>
      <c r="W1" s="32" t="s">
        <v>22</v>
      </c>
      <c r="X1" s="32" t="s">
        <v>23</v>
      </c>
      <c r="Y1" s="31" t="s">
        <v>24</v>
      </c>
      <c r="Z1" s="31" t="s">
        <v>25</v>
      </c>
      <c r="AA1" s="31" t="s">
        <v>26</v>
      </c>
      <c r="AB1" s="31" t="s">
        <v>27</v>
      </c>
      <c r="AC1" s="33" t="s">
        <v>28</v>
      </c>
      <c r="AD1" s="31" t="s">
        <v>29</v>
      </c>
      <c r="AE1" s="31" t="s">
        <v>30</v>
      </c>
      <c r="AF1" s="33" t="s">
        <v>31</v>
      </c>
      <c r="AG1" s="34" t="s">
        <v>32</v>
      </c>
      <c r="AH1" s="32" t="s">
        <v>33</v>
      </c>
      <c r="AI1" s="32" t="s">
        <v>34</v>
      </c>
      <c r="AJ1" s="32" t="s">
        <v>35</v>
      </c>
      <c r="AK1" s="32" t="s">
        <v>36</v>
      </c>
      <c r="AL1" s="33" t="s">
        <v>37</v>
      </c>
      <c r="AM1" s="35" t="s">
        <v>38</v>
      </c>
      <c r="AN1" s="35" t="s">
        <v>39</v>
      </c>
      <c r="AO1" s="31" t="s">
        <v>40</v>
      </c>
      <c r="AP1" s="31" t="s">
        <v>41</v>
      </c>
      <c r="AQ1" s="31" t="s">
        <v>42</v>
      </c>
      <c r="AR1" s="31" t="s">
        <v>43</v>
      </c>
      <c r="AS1" s="31" t="s">
        <v>44</v>
      </c>
      <c r="AT1" s="31" t="s">
        <v>45</v>
      </c>
      <c r="AU1" s="31" t="s">
        <v>46</v>
      </c>
      <c r="AV1" s="31" t="s">
        <v>47</v>
      </c>
      <c r="AW1" s="31" t="s">
        <v>48</v>
      </c>
      <c r="AX1" s="31" t="s">
        <v>49</v>
      </c>
      <c r="AY1" s="31" t="s">
        <v>50</v>
      </c>
      <c r="AZ1" s="31" t="s">
        <v>51</v>
      </c>
      <c r="BA1" s="31" t="s">
        <v>52</v>
      </c>
      <c r="BB1" s="31" t="s">
        <v>53</v>
      </c>
      <c r="BC1" s="31" t="s">
        <v>54</v>
      </c>
      <c r="BD1" s="31" t="s">
        <v>55</v>
      </c>
      <c r="BE1" s="33" t="s">
        <v>144</v>
      </c>
      <c r="BF1" s="33" t="s">
        <v>145</v>
      </c>
      <c r="BG1" s="33" t="s">
        <v>146</v>
      </c>
      <c r="BH1" s="31" t="s">
        <v>56</v>
      </c>
      <c r="BI1" s="31" t="s">
        <v>57</v>
      </c>
      <c r="BJ1" s="31" t="s">
        <v>58</v>
      </c>
      <c r="BK1" s="31" t="s">
        <v>59</v>
      </c>
      <c r="BL1" s="31" t="s">
        <v>60</v>
      </c>
      <c r="BM1" s="31" t="s">
        <v>61</v>
      </c>
      <c r="BN1" s="31" t="s">
        <v>62</v>
      </c>
      <c r="BO1" s="31" t="s">
        <v>63</v>
      </c>
      <c r="BP1" s="36"/>
      <c r="BQ1" s="31" t="s">
        <v>64</v>
      </c>
      <c r="BR1" s="37" t="s">
        <v>65</v>
      </c>
      <c r="BS1" s="38" t="s">
        <v>66</v>
      </c>
      <c r="BT1" s="37" t="s">
        <v>67</v>
      </c>
      <c r="BU1" s="38"/>
      <c r="BV1" s="37" t="s">
        <v>68</v>
      </c>
      <c r="BW1" s="38"/>
    </row>
    <row r="2" ht="75.75" spans="1:75">
      <c r="A2" t="s">
        <v>69</v>
      </c>
      <c r="B2" s="39"/>
      <c r="C2" s="39"/>
      <c r="D2" s="39" t="s">
        <v>70</v>
      </c>
      <c r="E2" s="39" t="s">
        <v>71</v>
      </c>
      <c r="F2" s="39" t="s">
        <v>72</v>
      </c>
      <c r="G2" s="39" t="s">
        <v>73</v>
      </c>
      <c r="H2" s="40" t="s">
        <v>74</v>
      </c>
      <c r="I2" s="40" t="s">
        <v>74</v>
      </c>
      <c r="J2" s="40" t="s">
        <v>74</v>
      </c>
      <c r="K2" s="40" t="s">
        <v>74</v>
      </c>
      <c r="L2" s="40" t="s">
        <v>74</v>
      </c>
      <c r="M2" s="40" t="s">
        <v>74</v>
      </c>
      <c r="N2" s="40" t="s">
        <v>74</v>
      </c>
      <c r="O2" s="40" t="s">
        <v>74</v>
      </c>
      <c r="P2" s="40" t="s">
        <v>74</v>
      </c>
      <c r="Q2" s="40" t="s">
        <v>74</v>
      </c>
      <c r="R2" s="40" t="s">
        <v>74</v>
      </c>
      <c r="S2" s="40" t="s">
        <v>74</v>
      </c>
      <c r="T2" s="40" t="s">
        <v>74</v>
      </c>
      <c r="U2" s="40" t="s">
        <v>74</v>
      </c>
      <c r="V2" s="40" t="s">
        <v>74</v>
      </c>
      <c r="W2" s="40" t="s">
        <v>74</v>
      </c>
      <c r="X2" s="40" t="s">
        <v>74</v>
      </c>
      <c r="Y2" s="39" t="s">
        <v>75</v>
      </c>
      <c r="Z2" s="39" t="s">
        <v>76</v>
      </c>
      <c r="AA2" s="39" t="s">
        <v>77</v>
      </c>
      <c r="AB2" s="39" t="s">
        <v>78</v>
      </c>
      <c r="AC2" s="33"/>
      <c r="AD2" s="39" t="s">
        <v>79</v>
      </c>
      <c r="AE2" s="39" t="s">
        <v>80</v>
      </c>
      <c r="AF2" s="33" t="s">
        <v>81</v>
      </c>
      <c r="AG2" s="34" t="s">
        <v>82</v>
      </c>
      <c r="AH2" s="39" t="s">
        <v>83</v>
      </c>
      <c r="AI2" s="39" t="s">
        <v>84</v>
      </c>
      <c r="AJ2" s="39" t="s">
        <v>85</v>
      </c>
      <c r="AK2" s="39" t="s">
        <v>86</v>
      </c>
      <c r="AL2" s="33"/>
      <c r="AM2" s="33"/>
      <c r="AN2" s="33"/>
      <c r="AO2" s="39" t="s">
        <v>87</v>
      </c>
      <c r="AP2" s="39" t="s">
        <v>88</v>
      </c>
      <c r="AQ2" s="39" t="s">
        <v>89</v>
      </c>
      <c r="AR2" s="39" t="s">
        <v>90</v>
      </c>
      <c r="AS2" s="39" t="s">
        <v>91</v>
      </c>
      <c r="AT2" s="39" t="s">
        <v>92</v>
      </c>
      <c r="AU2" s="39" t="s">
        <v>93</v>
      </c>
      <c r="AV2" s="41"/>
      <c r="AW2" s="41" t="s">
        <v>94</v>
      </c>
      <c r="AX2" s="42" t="s">
        <v>95</v>
      </c>
      <c r="AY2" s="41" t="s">
        <v>96</v>
      </c>
      <c r="AZ2" s="41" t="s">
        <v>97</v>
      </c>
      <c r="BA2" s="39" t="s">
        <v>98</v>
      </c>
      <c r="BB2" s="39" t="s">
        <v>99</v>
      </c>
      <c r="BC2" s="39" t="s">
        <v>100</v>
      </c>
      <c r="BD2" s="39" t="s">
        <v>101</v>
      </c>
      <c r="BE2" s="33"/>
      <c r="BF2" s="33"/>
      <c r="BG2" s="33"/>
      <c r="BH2" s="39" t="s">
        <v>102</v>
      </c>
      <c r="BI2" s="39" t="s">
        <v>102</v>
      </c>
      <c r="BJ2" s="39" t="s">
        <v>103</v>
      </c>
      <c r="BK2" s="39" t="s">
        <v>104</v>
      </c>
      <c r="BL2" s="39" t="s">
        <v>105</v>
      </c>
      <c r="BM2" s="39" t="s">
        <v>106</v>
      </c>
      <c r="BN2" s="39" t="s">
        <v>107</v>
      </c>
      <c r="BO2" s="39" t="s">
        <v>108</v>
      </c>
      <c r="BP2" s="43"/>
      <c r="BQ2" s="41" t="s">
        <v>109</v>
      </c>
      <c r="BR2" s="37" t="s">
        <v>110</v>
      </c>
      <c r="BS2" s="38"/>
      <c r="BT2" s="37" t="s">
        <v>111</v>
      </c>
      <c r="BU2" s="38"/>
      <c r="BV2" s="37" t="s">
        <v>112</v>
      </c>
      <c r="BW2" s="38"/>
    </row>
    <row r="3" ht="64" customHeight="1" spans="1:75">
      <c r="A3" t="s">
        <v>113</v>
      </c>
      <c r="B3" s="44"/>
      <c r="C3" s="44"/>
      <c r="D3" s="44" t="s">
        <v>114</v>
      </c>
      <c r="E3" s="44" t="s">
        <v>114</v>
      </c>
      <c r="F3" s="44" t="s">
        <v>115</v>
      </c>
      <c r="G3" s="44" t="s">
        <v>115</v>
      </c>
      <c r="H3" s="45" t="s">
        <v>115</v>
      </c>
      <c r="I3" s="45" t="s">
        <v>115</v>
      </c>
      <c r="J3" s="45" t="s">
        <v>115</v>
      </c>
      <c r="K3" s="45" t="s">
        <v>115</v>
      </c>
      <c r="L3" s="45" t="s">
        <v>115</v>
      </c>
      <c r="M3" s="45" t="s">
        <v>115</v>
      </c>
      <c r="N3" s="45" t="s">
        <v>115</v>
      </c>
      <c r="O3" s="45" t="s">
        <v>115</v>
      </c>
      <c r="P3" s="45" t="s">
        <v>115</v>
      </c>
      <c r="Q3" s="45" t="s">
        <v>115</v>
      </c>
      <c r="R3" s="45" t="s">
        <v>115</v>
      </c>
      <c r="S3" s="45" t="s">
        <v>115</v>
      </c>
      <c r="T3" s="45" t="s">
        <v>115</v>
      </c>
      <c r="U3" s="45" t="s">
        <v>115</v>
      </c>
      <c r="V3" s="45" t="s">
        <v>115</v>
      </c>
      <c r="W3" s="45" t="s">
        <v>115</v>
      </c>
      <c r="X3" s="45" t="s">
        <v>115</v>
      </c>
      <c r="Y3" s="44" t="s">
        <v>116</v>
      </c>
      <c r="Z3" s="44" t="s">
        <v>115</v>
      </c>
      <c r="AA3" s="44" t="s">
        <v>117</v>
      </c>
      <c r="AB3" s="44" t="s">
        <v>118</v>
      </c>
      <c r="AC3" s="33"/>
      <c r="AD3" s="44" t="s">
        <v>119</v>
      </c>
      <c r="AE3" s="44" t="s">
        <v>119</v>
      </c>
      <c r="AF3" s="33" t="s">
        <v>120</v>
      </c>
      <c r="AG3" s="34" t="s">
        <v>116</v>
      </c>
      <c r="AH3" s="44" t="s">
        <v>121</v>
      </c>
      <c r="AI3" s="44" t="s">
        <v>122</v>
      </c>
      <c r="AJ3" s="44" t="s">
        <v>123</v>
      </c>
      <c r="AK3" s="44" t="s">
        <v>124</v>
      </c>
      <c r="AL3" s="33"/>
      <c r="AM3" s="33"/>
      <c r="AN3" s="33"/>
      <c r="AO3" s="44" t="s">
        <v>125</v>
      </c>
      <c r="AP3" s="44" t="s">
        <v>126</v>
      </c>
      <c r="AQ3" s="44" t="s">
        <v>127</v>
      </c>
      <c r="AR3" s="44" t="s">
        <v>115</v>
      </c>
      <c r="AS3" s="44" t="s">
        <v>128</v>
      </c>
      <c r="AT3" s="44" t="s">
        <v>129</v>
      </c>
      <c r="AU3" s="44" t="s">
        <v>130</v>
      </c>
      <c r="AV3" s="44"/>
      <c r="AW3" s="44" t="s">
        <v>120</v>
      </c>
      <c r="AX3" s="46" t="s">
        <v>131</v>
      </c>
      <c r="AY3" s="44" t="s">
        <v>132</v>
      </c>
      <c r="AZ3" s="44" t="s">
        <v>133</v>
      </c>
      <c r="BA3" s="44" t="s">
        <v>134</v>
      </c>
      <c r="BB3" s="44" t="s">
        <v>134</v>
      </c>
      <c r="BC3" s="44" t="s">
        <v>135</v>
      </c>
      <c r="BD3" s="44" t="s">
        <v>136</v>
      </c>
      <c r="BE3" s="33"/>
      <c r="BF3" s="33"/>
      <c r="BG3" s="33"/>
      <c r="BH3" s="44" t="s">
        <v>120</v>
      </c>
      <c r="BI3" s="44" t="s">
        <v>120</v>
      </c>
      <c r="BJ3" s="44" t="s">
        <v>120</v>
      </c>
      <c r="BK3" s="44" t="s">
        <v>137</v>
      </c>
      <c r="BL3" s="44" t="s">
        <v>137</v>
      </c>
      <c r="BM3" s="44" t="s">
        <v>137</v>
      </c>
      <c r="BN3" s="44" t="s">
        <v>138</v>
      </c>
      <c r="BO3" s="44" t="s">
        <v>139</v>
      </c>
      <c r="BP3" s="47"/>
      <c r="BQ3" s="44" t="s">
        <v>120</v>
      </c>
      <c r="BR3" s="48" t="s">
        <v>140</v>
      </c>
      <c r="BS3" s="38" t="s">
        <v>141</v>
      </c>
      <c r="BT3" s="37" t="s">
        <v>142</v>
      </c>
      <c r="BU3" s="38"/>
      <c r="BV3" s="37" t="s">
        <v>143</v>
      </c>
      <c r="BW3" s="38"/>
    </row>
    <row r="4" ht="14.25" spans="1:75">
      <c r="A4">
        <v>3</v>
      </c>
      <c r="B4" t="s">
        <v>147</v>
      </c>
      <c r="C4" s="49" t="s">
        <v>148</v>
      </c>
      <c r="D4" t="s">
        <v>149</v>
      </c>
      <c r="E4" t="s">
        <v>150</v>
      </c>
      <c r="F4" s="50">
        <v>32</v>
      </c>
      <c r="G4" s="50" t="str">
        <f>_xlfn.XLOOKUP(E4,E12:E17,G12:G17,,0,1)</f>
        <v>UniRan 12.4(LTE V5.50.51)</v>
      </c>
      <c r="H4" t="str">
        <f>BU6&amp;" "</f>
        <v>CCC,0,0 </v>
      </c>
      <c r="I4" t="str">
        <f>BU5&amp;" "</f>
        <v> </v>
      </c>
      <c r="J4" t="str">
        <f>BU4&amp;" "</f>
        <v> </v>
      </c>
      <c r="K4" t="str">
        <f>BU3&amp;" "</f>
        <v> </v>
      </c>
      <c r="L4" t="str">
        <f>BU2&amp;" "</f>
        <v> </v>
      </c>
      <c r="M4" t="str">
        <f>BU1&amp;" "</f>
        <v> </v>
      </c>
      <c r="N4" t="str">
        <f>BW6&amp;" "</f>
        <v> </v>
      </c>
      <c r="O4" t="str">
        <f>BW5&amp;" "</f>
        <v> </v>
      </c>
      <c r="P4" t="str">
        <f>BW4&amp;" "</f>
        <v>BPN2,32,100671497 </v>
      </c>
      <c r="Q4" t="str">
        <f>BW3&amp;" "</f>
        <v> </v>
      </c>
      <c r="R4" t="str">
        <f>BW2&amp;" "</f>
        <v> </v>
      </c>
      <c r="S4" t="str">
        <f>BW1&amp;" "</f>
        <v> </v>
      </c>
      <c r="T4" t="str">
        <f>BS6&amp;" "</f>
        <v> </v>
      </c>
      <c r="U4" t="str">
        <f>BS4&amp;" "</f>
        <v> </v>
      </c>
      <c r="V4" t="str">
        <f>BS3&amp;" "</f>
        <v>FAB,0,0 </v>
      </c>
      <c r="W4" t="str">
        <f>BS2&amp;" "</f>
        <v> </v>
      </c>
      <c r="X4" t="str">
        <f>BS1&amp;" "</f>
        <v>PM,0,0 </v>
      </c>
      <c r="Y4" s="51">
        <v>84</v>
      </c>
      <c r="Z4" s="51" t="s">
        <v>151</v>
      </c>
      <c r="AA4" s="51" t="s">
        <v>152</v>
      </c>
      <c r="AB4" s="52">
        <f t="shared" ref="AB4:AB6" si="0">VLOOKUP(AA4,$AA$12:$AB$31,2,FALSE)</f>
        <v>452984881</v>
      </c>
      <c r="AD4" t="str">
        <f>IF(LEFT(AV4,3)="FDD","0;1;2;3;4;5;6;7;8;9;10;11;12;13;14;15;16;17;18;19;20;21;22;23;24;25;26;27;28;29;30;31;32;33;34;35;36;37;38;39;40;41;42;43;44;45;46;47;48;49;50;51;52;53;54;55;56;57;58;59;60;61;62;63"," ")</f>
        <v> </v>
      </c>
      <c r="AE4" t="str">
        <f>IF(LEFT(AV4,3)="TDD","0;1;2;3;4;5;6;7;8;9;10;11;12;13;14;15;16;17;18;19;20;21;22;23;24;25;26;27;28;29;30;31;32;33;34;35;36;37;38;39;40;41;42;43;44;45;46;47;48;49;50;51;52;53;54;55;56;57;58;59;60;61;62;63"," ")</f>
        <v>0;1;2;3;4;5;6;7;8;9;10;11;12;13;14;15;16;17;18;19;20;21;22;23;24;25;26;27;28;29;30;31;32;33;34;35;36;37;38;39;40;41;42;43;44;45;46;47;48;49;50;51;52;53;54;55;56;57;58;59;60;61;62;63</v>
      </c>
      <c r="AF4" s="53" t="e">
        <f>VLOOKUP(K4&amp;#REF!,RRU频段及通道配置FDD!#REF!,2,0)</f>
        <v>#REF!</v>
      </c>
      <c r="AG4" s="51" t="e">
        <f>VLOOKUP(#REF!,RRU频段及通道配置FDD!#REF!,20,0)</f>
        <v>#REF!</v>
      </c>
      <c r="AH4" s="54" t="s">
        <v>153</v>
      </c>
      <c r="AI4" s="55" t="s">
        <v>154</v>
      </c>
      <c r="AJ4" s="54" t="s">
        <v>155</v>
      </c>
      <c r="AK4" s="55" t="s">
        <v>156</v>
      </c>
      <c r="AO4">
        <v>1</v>
      </c>
      <c r="AP4">
        <v>24</v>
      </c>
      <c r="AQ4" s="53">
        <v>201</v>
      </c>
      <c r="AR4" s="53" t="s">
        <v>157</v>
      </c>
      <c r="AS4" s="53">
        <v>165</v>
      </c>
      <c r="AT4" s="53">
        <v>4148</v>
      </c>
      <c r="AU4" s="53">
        <v>768</v>
      </c>
      <c r="AV4" s="56" t="s">
        <v>158</v>
      </c>
      <c r="AW4" s="57">
        <f>Y4</f>
        <v>84</v>
      </c>
      <c r="AX4" s="57">
        <f>_xlfn.XLOOKUP(AV4,$AV$12:$AV$24,$AX$12:$AX$24,,1,1)</f>
        <v>39</v>
      </c>
      <c r="AY4" s="57">
        <f>_xlfn.XLOOKUP(AV4,$AV$12:$AV$24,$AY$12:$AY$24,,1,1)</f>
        <v>1895</v>
      </c>
      <c r="AZ4" s="57" t="str">
        <f>_xlfn.XLOOKUP(AV4,$AV$12:$AV$24,$AX$12:$BD$24,,1,1)&amp;" "</f>
        <v> </v>
      </c>
      <c r="BA4" s="57" t="str">
        <f>_xlfn.XLOOKUP(AV4,$AV$12:$AV$24,$BA$12:$BD$24,,1,1)</f>
        <v>20(100RB)[5]</v>
      </c>
      <c r="BB4" s="57">
        <f>_xlfn.XLOOKUP(AV4,$AV$12:$AV$24,$AX$12:$BD$24,,1,1)</f>
        <v>5</v>
      </c>
      <c r="BC4" s="57" t="str">
        <f>_xlfn.XLOOKUP(AV4,$AV$12:$AV$24,$BD$12:$BD$24,,0,1)</f>
        <v>100[33]</v>
      </c>
      <c r="BD4" s="57">
        <f>_xlfn.XLOOKUP(AV4,$AV$12:$AV$24,$BC$12:$BC$24,,1,1)</f>
        <v>100</v>
      </c>
      <c r="BE4" s="53"/>
      <c r="BF4" s="53"/>
      <c r="BG4" s="53"/>
      <c r="BH4" s="53">
        <v>9</v>
      </c>
      <c r="BI4" s="58" t="s">
        <v>159</v>
      </c>
      <c r="BJ4" s="59">
        <v>15.2</v>
      </c>
      <c r="BK4" s="60" t="str">
        <f>VLOOKUP(AA:AA,RRU频段及通道配置FDD!A:P,16,0)</f>
        <v>1;1;1;1;1;1;1;1;0;0;0;0;0;0;0;0;0;0;0;0;0;0;0;0;0;0;0;0;0;0;0;0;0;0;0;0;0;0;0;0;0;0;0;0;0;0;0;0;0;0;0;0;0;0;0;0;0;0;0;0;0;0;0;0</v>
      </c>
      <c r="BL4" s="60" t="str">
        <f>VLOOKUP(AA:AA,RRU频段及通道配置FDD!A:P,16,0)&amp;" "</f>
        <v>1;1;1;1;1;1;1;1;0;0;0;0;0;0;0;0;0;0;0;0;0;0;0;0;0;0;0;0;0;0;0;0;0;0;0;0;0;0;0;0;0;0;0;0;0;0;0;0;0;0;0;0;0;0;0;0;0;0;0;0;0;0;0;0 </v>
      </c>
      <c r="BM4" s="60" t="str">
        <f>VLOOKUP(AA:AA,RRU频段及通道配置FDD!A:P,16,0)&amp;" "</f>
        <v>1;1;1;1;1;1;1;1;0;0;0;0;0;0;0;0;0;0;0;0;0;0;0;0;0;0;0;0;0;0;0;0;0;0;0;0;0;0;0;0;0;0;0;0;0;0;0;0;0;0;0;0;0;0;0;0;0;0;0;0;0;0;0;0 </v>
      </c>
      <c r="BN4" s="60" t="str">
        <f>VLOOKUP(AA:AA,RRU频段及通道配置FDD!A:Q,17,0)</f>
        <v>0;0;0;0;1;1;1;1;15;15;15;15;15;15;15;15;15;15;15;15;15;15;15;15;15;15;15;15;15;15;15;15;15;15;15;15;15;15;15;15;15;15;15;15;15;15;15;15;15;15;15;15;15;15;15;15;15;15;15;15;15;15;15;15</v>
      </c>
      <c r="BO4" s="59">
        <v>0</v>
      </c>
      <c r="BP4" s="51"/>
      <c r="BQ4" s="52">
        <f>VLOOKUP(AA:AA,RRU频段及通道配置FDD!A:T,19,0)</f>
        <v>1</v>
      </c>
      <c r="BR4" s="48" t="s">
        <v>160</v>
      </c>
      <c r="BS4" s="38"/>
      <c r="BT4" s="61" t="s">
        <v>161</v>
      </c>
      <c r="BU4" s="38"/>
      <c r="BV4" s="37" t="s">
        <v>162</v>
      </c>
      <c r="BW4" s="38" t="s">
        <v>163</v>
      </c>
    </row>
    <row r="5" ht="14.25" spans="1:75">
      <c r="B5" s="55"/>
      <c r="C5" s="62"/>
      <c r="D5" s="50"/>
      <c r="E5" s="54"/>
      <c r="F5" s="50"/>
      <c r="G5" s="50"/>
      <c r="Y5" s="52">
        <v>85</v>
      </c>
      <c r="Z5" s="51" t="s">
        <v>164</v>
      </c>
      <c r="AA5" s="51" t="s">
        <v>152</v>
      </c>
      <c r="AB5" s="52">
        <f t="shared" si="0"/>
        <v>452984881</v>
      </c>
      <c r="AD5" t="str">
        <f>IF(LEFT(AV4,3)="FDD","0;1;2;3;4;5;6;7;8;9;10;11;12;13;14;15;16;17;18;19;20;21;22;23;24;25;26;27;28;29;30;31;32;33;34;35;36;37;38;39;40;41;42;43;44;45;46;47;48;49;50;51;52;53;54;55;56;57;58;59;60;61;62;63"," ")</f>
        <v> </v>
      </c>
      <c r="AE5" t="str">
        <f>IF(LEFT(AV4,3)="TDD","0;1;2;3;4;5;6;7;8;9;10;11;12;13;14;15;16;17;18;19;20;21;22;23;24;25;26;27;28;29;30;31;32;33;34;35;36;37;38;39;40;41;42;43;44;45;46;47;48;49;50;51;52;53;54;55;56;57;58;59;60;61;62;63"," ")</f>
        <v>0;1;2;3;4;5;6;7;8;9;10;11;12;13;14;15;16;17;18;19;20;21;22;23;24;25;26;27;28;29;30;31;32;33;34;35;36;37;38;39;40;41;42;43;44;45;46;47;48;49;50;51;52;53;54;55;56;57;58;59;60;61;62;63</v>
      </c>
      <c r="AF5" s="53" t="e">
        <f>VLOOKUP(K5&amp;#REF!,RRU频段及通道配置FDD!#REF!,2,0)</f>
        <v>#REF!</v>
      </c>
      <c r="AG5" s="51" t="e">
        <f>VLOOKUP(#REF!,RRU频段及通道配置FDD!#REF!,20,0)</f>
        <v>#REF!</v>
      </c>
      <c r="AH5" s="54" t="s">
        <v>165</v>
      </c>
      <c r="AI5" s="55" t="s">
        <v>166</v>
      </c>
      <c r="AJ5" s="54" t="s">
        <v>155</v>
      </c>
      <c r="AK5" s="55" t="s">
        <v>167</v>
      </c>
      <c r="AO5">
        <v>2</v>
      </c>
      <c r="AQ5" s="56">
        <v>202</v>
      </c>
      <c r="AR5" s="53" t="s">
        <v>168</v>
      </c>
      <c r="AS5" s="56">
        <v>166</v>
      </c>
      <c r="AT5" s="53">
        <v>4148</v>
      </c>
      <c r="AU5" s="56">
        <v>772</v>
      </c>
      <c r="AV5" s="56" t="s">
        <v>158</v>
      </c>
      <c r="AW5" s="63">
        <f>Y5</f>
        <v>85</v>
      </c>
      <c r="AX5" s="57">
        <f>_xlfn.XLOOKUP(AV5,$AV$12:$AV$24,$AX$12:$AX$24,,1,1)</f>
        <v>39</v>
      </c>
      <c r="AY5" s="57">
        <f>_xlfn.XLOOKUP(AV5,$AV$12:$AV$24,$AY$12:$AY$24,,1,1)</f>
        <v>1895</v>
      </c>
      <c r="AZ5" s="57" t="str">
        <f>_xlfn.XLOOKUP(AV5,$AV$12:$AV$24,$AZ$12:$AZ$24,,1,1)&amp;" "</f>
        <v> </v>
      </c>
      <c r="BA5" s="57" t="str">
        <f>_xlfn.XLOOKUP(AV5,$AV$12:$AV$24,$BA$12:$BA$24,,1,1)</f>
        <v>20(100RB)[5]</v>
      </c>
      <c r="BB5" s="57">
        <f>_xlfn.XLOOKUP(AV5,$AV$12:$AV$24,$AX$12:$BD$24,,1,1)</f>
        <v>5</v>
      </c>
      <c r="BC5" s="57" t="str">
        <f>_xlfn.XLOOKUP(AV5,$AV$12:$AV$24,$BD$12:$BD$24,,0,1)</f>
        <v>100[33]</v>
      </c>
      <c r="BD5" s="57">
        <f>_xlfn.XLOOKUP(AV5,$AV$12:$AV$24,$BC$12:$BC$24,,1,1)</f>
        <v>100</v>
      </c>
      <c r="BE5" s="53"/>
      <c r="BF5" s="53"/>
      <c r="BG5" s="53"/>
      <c r="BH5" s="53">
        <v>9</v>
      </c>
      <c r="BI5" s="58" t="s">
        <v>159</v>
      </c>
      <c r="BJ5" s="59">
        <v>15.2</v>
      </c>
      <c r="BK5" s="60" t="str">
        <f>VLOOKUP(AA:AA,RRU频段及通道配置FDD!A:P,16,0)</f>
        <v>1;1;1;1;1;1;1;1;0;0;0;0;0;0;0;0;0;0;0;0;0;0;0;0;0;0;0;0;0;0;0;0;0;0;0;0;0;0;0;0;0;0;0;0;0;0;0;0;0;0;0;0;0;0;0;0;0;0;0;0;0;0;0;0</v>
      </c>
      <c r="BL5" s="60" t="str">
        <f>VLOOKUP(AA:AA,RRU频段及通道配置FDD!A:P,16,0)&amp;" "</f>
        <v>1;1;1;1;1;1;1;1;0;0;0;0;0;0;0;0;0;0;0;0;0;0;0;0;0;0;0;0;0;0;0;0;0;0;0;0;0;0;0;0;0;0;0;0;0;0;0;0;0;0;0;0;0;0;0;0;0;0;0;0;0;0;0;0 </v>
      </c>
      <c r="BM5" s="60" t="str">
        <f>VLOOKUP(AA:AA,RRU频段及通道配置FDD!A:P,16,0)&amp;" "</f>
        <v>1;1;1;1;1;1;1;1;0;0;0;0;0;0;0;0;0;0;0;0;0;0;0;0;0;0;0;0;0;0;0;0;0;0;0;0;0;0;0;0;0;0;0;0;0;0;0;0;0;0;0;0;0;0;0;0;0;0;0;0;0;0;0;0 </v>
      </c>
      <c r="BN5" s="60" t="str">
        <f>VLOOKUP(AA:AA,RRU频段及通道配置FDD!A:Q,17,0)</f>
        <v>0;0;0;0;1;1;1;1;15;15;15;15;15;15;15;15;15;15;15;15;15;15;15;15;15;15;15;15;15;15;15;15;15;15;15;15;15;15;15;15;15;15;15;15;15;15;15;15;15;15;15;15;15;15;15;15;15;15;15;15;15;15;15;15</v>
      </c>
      <c r="BO5" s="59">
        <v>0</v>
      </c>
      <c r="BP5" s="51"/>
      <c r="BQ5" s="52">
        <f>VLOOKUP(AA:AA,RRU频段及通道配置FDD!A:T,19,0)</f>
        <v>1</v>
      </c>
      <c r="BR5" s="64"/>
      <c r="BS5" s="38"/>
      <c r="BT5" s="61" t="s">
        <v>169</v>
      </c>
      <c r="BU5" s="38"/>
      <c r="BV5" s="37" t="s">
        <v>170</v>
      </c>
      <c r="BW5" s="38"/>
    </row>
    <row r="6" ht="14.25" spans="1:75">
      <c r="Y6" s="52">
        <v>86</v>
      </c>
      <c r="Z6" s="51" t="s">
        <v>171</v>
      </c>
      <c r="AA6" s="51" t="s">
        <v>152</v>
      </c>
      <c r="AB6" s="52">
        <f t="shared" si="0"/>
        <v>452984881</v>
      </c>
      <c r="AF6" s="53" t="e">
        <f>VLOOKUP(K6&amp;#REF!,RRU频段及通道配置FDD!#REF!,2,0)</f>
        <v>#REF!</v>
      </c>
      <c r="AG6" s="51" t="e">
        <f>VLOOKUP(#REF!,RRU频段及通道配置FDD!#REF!,20,0)</f>
        <v>#REF!</v>
      </c>
      <c r="AQ6" s="56">
        <v>203</v>
      </c>
      <c r="AR6" s="53" t="s">
        <v>172</v>
      </c>
      <c r="AS6" s="56">
        <v>167</v>
      </c>
      <c r="AT6" s="53">
        <v>4148</v>
      </c>
      <c r="AU6" s="56">
        <v>776</v>
      </c>
      <c r="AV6" s="56" t="s">
        <v>158</v>
      </c>
      <c r="AW6" s="57">
        <f>Y6</f>
        <v>86</v>
      </c>
      <c r="AX6" s="57">
        <f>_xlfn.XLOOKUP(AV6,$AV$12:$AV$24,$AX$12:$AX$24,,1,1)</f>
        <v>39</v>
      </c>
      <c r="AY6" s="57">
        <f>_xlfn.XLOOKUP(AV6,$AV$12:$AV$24,$AY$12:$AY$24,,1,1)</f>
        <v>1895</v>
      </c>
      <c r="AZ6" s="57" t="str">
        <f>_xlfn.XLOOKUP(AV6,$AV$12:$AV$24,$AX$12:$BD$24,,1,1)&amp;" "</f>
        <v> </v>
      </c>
      <c r="BA6" s="57" t="str">
        <f>_xlfn.XLOOKUP(AV6,$AV$12:$AV$24,$AX$12:$BD$24,,1,1)</f>
        <v>20(100RB)[5]</v>
      </c>
      <c r="BB6" s="57">
        <f>_xlfn.XLOOKUP(AV6,$AV$12:$AV$24,$AX$12:$BD$24,,1,1)</f>
        <v>5</v>
      </c>
      <c r="BC6" s="57" t="str">
        <f>_xlfn.XLOOKUP(AV6,$AV$12:$AV$24,$BD$12:$BD$24,,0,1)</f>
        <v>100[33]</v>
      </c>
      <c r="BD6" s="57">
        <f>_xlfn.XLOOKUP(AV6,$AV$12:$AV$24,$BC$12:$BC$24,,1,1)</f>
        <v>100</v>
      </c>
      <c r="BE6" s="53"/>
      <c r="BF6" s="53"/>
      <c r="BG6" s="53"/>
      <c r="BH6" s="53">
        <v>9</v>
      </c>
      <c r="BI6" s="58" t="s">
        <v>159</v>
      </c>
      <c r="BJ6" s="59">
        <v>15.2</v>
      </c>
      <c r="BK6" s="60" t="str">
        <f>VLOOKUP(AA:AA,RRU频段及通道配置FDD!A:P,16,0)</f>
        <v>1;1;1;1;1;1;1;1;0;0;0;0;0;0;0;0;0;0;0;0;0;0;0;0;0;0;0;0;0;0;0;0;0;0;0;0;0;0;0;0;0;0;0;0;0;0;0;0;0;0;0;0;0;0;0;0;0;0;0;0;0;0;0;0</v>
      </c>
      <c r="BL6" s="60" t="str">
        <f>VLOOKUP(AA:AA,RRU频段及通道配置FDD!A:P,16,0)&amp;" "</f>
        <v>1;1;1;1;1;1;1;1;0;0;0;0;0;0;0;0;0;0;0;0;0;0;0;0;0;0;0;0;0;0;0;0;0;0;0;0;0;0;0;0;0;0;0;0;0;0;0;0;0;0;0;0;0;0;0;0;0;0;0;0;0;0;0;0 </v>
      </c>
      <c r="BM6" s="60" t="str">
        <f>VLOOKUP(AA:AA,RRU频段及通道配置FDD!A:P,16,0)&amp;" "</f>
        <v>1;1;1;1;1;1;1;1;0;0;0;0;0;0;0;0;0;0;0;0;0;0;0;0;0;0;0;0;0;0;0;0;0;0;0;0;0;0;0;0;0;0;0;0;0;0;0;0;0;0;0;0;0;0;0;0;0;0;0;0;0;0;0;0 </v>
      </c>
      <c r="BN6" s="60" t="str">
        <f>VLOOKUP(AA:AA,RRU频段及通道配置FDD!A:Q,17,0)</f>
        <v>0;0;0;0;1;1;1;1;15;15;15;15;15;15;15;15;15;15;15;15;15;15;15;15;15;15;15;15;15;15;15;15;15;15;15;15;15;15;15;15;15;15;15;15;15;15;15;15;15;15;15;15;15;15;15;15;15;15;15;15;15;15;15;15</v>
      </c>
      <c r="BO6" s="59">
        <v>0</v>
      </c>
      <c r="BP6" s="51"/>
      <c r="BQ6" s="52">
        <f>VLOOKUP(AA:AA,RRU频段及通道配置FDD!A:T,19,0)</f>
        <v>1</v>
      </c>
      <c r="BR6" s="48" t="s">
        <v>173</v>
      </c>
      <c r="BS6" s="38"/>
      <c r="BT6" s="37" t="s">
        <v>174</v>
      </c>
      <c r="BU6" s="38" t="s">
        <v>175</v>
      </c>
      <c r="BV6" s="37" t="s">
        <v>176</v>
      </c>
      <c r="BW6" s="38"/>
    </row>
    <row r="7" ht="15" customHeight="1" spans="1:75">
      <c r="D7" s="65"/>
      <c r="E7" s="65"/>
      <c r="F7" s="65"/>
      <c r="Y7" s="52"/>
      <c r="Z7" s="52"/>
      <c r="AA7" s="52"/>
      <c r="AB7" s="52"/>
      <c r="AF7" s="56"/>
      <c r="AG7" s="52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7"/>
      <c r="BE7" s="66"/>
      <c r="BF7" s="66"/>
      <c r="BG7" s="66"/>
      <c r="BH7" s="56"/>
      <c r="BI7" s="52"/>
      <c r="BJ7" s="52"/>
      <c r="BK7" s="52"/>
      <c r="BL7" s="52"/>
      <c r="BM7" s="52"/>
      <c r="BN7" s="52"/>
      <c r="BO7" s="52"/>
      <c r="BP7" s="52"/>
      <c r="BQ7" s="52"/>
      <c r="BR7" s="67"/>
      <c r="BS7" s="68"/>
    </row>
    <row r="8" ht="16" customHeight="1" spans="1:75">
      <c r="D8" s="65"/>
      <c r="E8" s="65"/>
      <c r="F8" s="65"/>
      <c r="Y8" s="52"/>
      <c r="Z8" s="52"/>
      <c r="AA8" s="52"/>
      <c r="AB8" s="52"/>
      <c r="AF8" s="56"/>
      <c r="AG8" s="52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7"/>
      <c r="BE8" s="66"/>
      <c r="BF8" s="66"/>
      <c r="BG8" s="66"/>
      <c r="BH8" s="56"/>
      <c r="BI8" s="52"/>
      <c r="BJ8" s="52"/>
      <c r="BK8" s="52"/>
      <c r="BL8" s="52"/>
      <c r="BM8" s="52"/>
      <c r="BN8" s="52"/>
      <c r="BO8" s="52"/>
      <c r="BP8" s="52"/>
      <c r="BQ8" s="52"/>
      <c r="BR8" s="67"/>
      <c r="BS8" s="68"/>
    </row>
    <row r="9" spans="1:75">
      <c r="D9" s="65"/>
      <c r="E9" s="65"/>
      <c r="F9" s="65"/>
      <c r="Y9" s="52"/>
      <c r="Z9" s="52"/>
      <c r="AA9" s="52"/>
      <c r="AB9" s="52"/>
      <c r="AF9" s="56"/>
      <c r="AG9" s="52"/>
      <c r="AQ9" s="56"/>
      <c r="AR9" s="56"/>
      <c r="AS9" s="56"/>
      <c r="AT9" s="56"/>
      <c r="AU9" s="56"/>
      <c r="AV9" s="56"/>
      <c r="AW9" s="56"/>
      <c r="AX9" s="56"/>
      <c r="AY9" s="56"/>
      <c r="AZ9" s="69"/>
      <c r="BA9" s="56"/>
      <c r="BB9" s="56"/>
      <c r="BC9" s="56"/>
      <c r="BD9" s="57"/>
      <c r="BE9" s="66"/>
      <c r="BF9" s="66"/>
      <c r="BG9" s="66"/>
      <c r="BH9" s="56"/>
      <c r="BI9" s="52"/>
      <c r="BJ9" s="52"/>
      <c r="BK9" s="52"/>
      <c r="BL9" s="52"/>
      <c r="BM9" s="52"/>
      <c r="BN9" s="52"/>
      <c r="BO9" s="52"/>
      <c r="BP9" s="52"/>
      <c r="BQ9" s="52"/>
      <c r="BR9" s="70" t="s">
        <v>177</v>
      </c>
      <c r="BS9" s="71"/>
    </row>
    <row r="10" ht="14.25" spans="1:75">
      <c r="G10" s="72" t="s">
        <v>178</v>
      </c>
      <c r="H10" s="73" t="s">
        <v>179</v>
      </c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AB10" s="74" t="s">
        <v>180</v>
      </c>
      <c r="AD10" t="s">
        <v>181</v>
      </c>
      <c r="AG10" s="75"/>
      <c r="AH10" s="76" t="s">
        <v>182</v>
      </c>
      <c r="AI10" s="76"/>
      <c r="AJ10" s="76"/>
      <c r="AK10" s="76"/>
      <c r="AL10" s="77"/>
      <c r="AM10" s="77"/>
      <c r="AN10" s="77"/>
      <c r="AO10" s="77"/>
      <c r="AX10" s="73" t="s">
        <v>183</v>
      </c>
      <c r="AY10" s="73"/>
      <c r="AZ10" s="73"/>
      <c r="BA10" s="73"/>
      <c r="BB10" s="73"/>
      <c r="BC10" s="73"/>
      <c r="BD10" s="73"/>
      <c r="BE10" s="78"/>
      <c r="BF10" s="78"/>
      <c r="BG10" s="78"/>
      <c r="BH10" s="78"/>
      <c r="BK10" s="79" t="s">
        <v>180</v>
      </c>
      <c r="BL10" s="79"/>
      <c r="BM10" s="79"/>
      <c r="BN10" s="79"/>
      <c r="BO10" s="79"/>
      <c r="BP10" s="80"/>
      <c r="BR10" s="81"/>
      <c r="BS10" s="82"/>
    </row>
    <row r="11" ht="33" customHeight="1" spans="1:75">
      <c r="A11" s="83" t="s">
        <v>184</v>
      </c>
      <c r="B11" s="84" t="s">
        <v>185</v>
      </c>
      <c r="C11" s="84" t="s">
        <v>186</v>
      </c>
      <c r="D11" s="84" t="s">
        <v>187</v>
      </c>
      <c r="E11" s="84" t="s">
        <v>188</v>
      </c>
      <c r="F11" s="84" t="s">
        <v>189</v>
      </c>
      <c r="G11" s="84" t="s">
        <v>190</v>
      </c>
      <c r="H11" s="85" t="s">
        <v>191</v>
      </c>
      <c r="I11" s="85"/>
      <c r="J11" s="84" t="s">
        <v>192</v>
      </c>
      <c r="K11" s="84" t="s">
        <v>192</v>
      </c>
      <c r="L11" s="84" t="s">
        <v>193</v>
      </c>
      <c r="M11" s="84" t="s">
        <v>194</v>
      </c>
      <c r="N11" s="84" t="s">
        <v>194</v>
      </c>
      <c r="O11" s="84" t="s">
        <v>194</v>
      </c>
      <c r="P11" s="84" t="s">
        <v>194</v>
      </c>
      <c r="Q11" s="84" t="s">
        <v>194</v>
      </c>
      <c r="R11" s="84" t="s">
        <v>194</v>
      </c>
      <c r="S11" s="84" t="s">
        <v>194</v>
      </c>
      <c r="T11" s="84" t="s">
        <v>195</v>
      </c>
      <c r="U11" s="84" t="s">
        <v>195</v>
      </c>
      <c r="V11" s="84" t="s">
        <v>196</v>
      </c>
      <c r="W11" s="84" t="s">
        <v>197</v>
      </c>
      <c r="X11" s="84" t="s">
        <v>197</v>
      </c>
      <c r="Y11" s="84" t="s">
        <v>198</v>
      </c>
      <c r="Z11" s="84" t="s">
        <v>199</v>
      </c>
      <c r="AA11" s="84" t="s">
        <v>200</v>
      </c>
      <c r="AB11" s="84" t="s">
        <v>201</v>
      </c>
      <c r="AC11" s="85"/>
      <c r="AD11" s="85" t="s">
        <v>202</v>
      </c>
      <c r="AE11" s="85"/>
      <c r="AF11" s="84" t="s">
        <v>203</v>
      </c>
      <c r="AG11" s="84"/>
      <c r="AH11" s="84" t="s">
        <v>204</v>
      </c>
      <c r="AI11" s="84" t="s">
        <v>205</v>
      </c>
      <c r="AJ11" s="84" t="s">
        <v>206</v>
      </c>
      <c r="AK11" s="84" t="s">
        <v>207</v>
      </c>
      <c r="AL11" s="84"/>
      <c r="AM11" s="84"/>
      <c r="AN11" s="84"/>
      <c r="AO11" s="84" t="s">
        <v>208</v>
      </c>
      <c r="AP11" s="84" t="s">
        <v>209</v>
      </c>
      <c r="AQ11" s="84" t="s">
        <v>210</v>
      </c>
      <c r="AR11" s="84" t="s">
        <v>211</v>
      </c>
      <c r="AS11" s="84" t="s">
        <v>212</v>
      </c>
      <c r="AT11" s="84" t="s">
        <v>213</v>
      </c>
      <c r="AU11" s="84" t="s">
        <v>214</v>
      </c>
      <c r="AV11" s="84" t="s">
        <v>215</v>
      </c>
      <c r="AW11" s="84" t="s">
        <v>216</v>
      </c>
      <c r="BE11" s="84"/>
      <c r="BF11" s="84"/>
      <c r="BG11" s="84"/>
      <c r="BH11" s="84" t="s">
        <v>217</v>
      </c>
      <c r="BI11" s="84" t="s">
        <v>218</v>
      </c>
      <c r="BJ11" s="84" t="s">
        <v>219</v>
      </c>
      <c r="BK11" s="84" t="s">
        <v>220</v>
      </c>
      <c r="BL11" s="84" t="s">
        <v>221</v>
      </c>
      <c r="BM11" s="84" t="s">
        <v>221</v>
      </c>
      <c r="BN11" s="84" t="s">
        <v>221</v>
      </c>
      <c r="BO11" s="84"/>
      <c r="BP11" s="84"/>
      <c r="BR11" s="86" t="s">
        <v>222</v>
      </c>
      <c r="BS11" s="38" t="s">
        <v>223</v>
      </c>
    </row>
    <row r="12" ht="14.25" spans="1:75">
      <c r="B12" s="49" t="s">
        <v>224</v>
      </c>
      <c r="C12" s="49" t="s">
        <v>148</v>
      </c>
      <c r="D12" t="s">
        <v>225</v>
      </c>
      <c r="E12" s="2" t="s">
        <v>226</v>
      </c>
      <c r="F12" t="s">
        <v>227</v>
      </c>
      <c r="G12" s="2" t="str">
        <f>VLOOKUP(F12,SCTP描述信息!D:E,2,0)</f>
        <v>UniRan 12.3(GFTLN V5.50.51)</v>
      </c>
      <c r="H12" s="84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AA12" t="s">
        <v>228</v>
      </c>
      <c r="AB12">
        <v>1281</v>
      </c>
      <c r="AH12" t="s">
        <v>229</v>
      </c>
      <c r="AI12" s="87" t="s">
        <v>230</v>
      </c>
      <c r="AJ12" t="s">
        <v>231</v>
      </c>
      <c r="AK12" s="84" t="s">
        <v>232</v>
      </c>
      <c r="AV12" t="s">
        <v>233</v>
      </c>
      <c r="AX12" s="29">
        <v>8</v>
      </c>
      <c r="AY12" s="29">
        <v>894</v>
      </c>
      <c r="AZ12" s="29">
        <v>939</v>
      </c>
      <c r="BA12" s="29" t="s">
        <v>234</v>
      </c>
      <c r="BB12" s="29" t="s">
        <v>234</v>
      </c>
      <c r="BC12" s="29">
        <v>50</v>
      </c>
      <c r="BD12" s="29" t="s">
        <v>235</v>
      </c>
    </row>
    <row r="13" ht="14.25" spans="1:75">
      <c r="B13" t="s">
        <v>147</v>
      </c>
      <c r="C13" t="s">
        <v>236</v>
      </c>
      <c r="D13" t="s">
        <v>225</v>
      </c>
      <c r="E13" s="2" t="s">
        <v>237</v>
      </c>
      <c r="F13" t="s">
        <v>238</v>
      </c>
      <c r="G13" s="2" t="str">
        <f>VLOOKUP(F13,SCTP描述信息!D:E,2,0)</f>
        <v>UniRan 12.3(GTDL V5.50.51)</v>
      </c>
      <c r="H13" s="54" t="s">
        <v>239</v>
      </c>
      <c r="I13" s="54" t="s">
        <v>239</v>
      </c>
      <c r="AA13" t="s">
        <v>152</v>
      </c>
      <c r="AB13">
        <v>452984881</v>
      </c>
      <c r="AG13" t="s">
        <v>240</v>
      </c>
      <c r="AH13" t="s">
        <v>241</v>
      </c>
      <c r="AI13" s="87" t="s">
        <v>242</v>
      </c>
      <c r="AJ13" t="s">
        <v>243</v>
      </c>
      <c r="AK13" t="s">
        <v>244</v>
      </c>
      <c r="AV13" t="s">
        <v>245</v>
      </c>
      <c r="AX13">
        <v>3</v>
      </c>
      <c r="AY13">
        <v>1725</v>
      </c>
      <c r="AZ13">
        <v>1820</v>
      </c>
      <c r="BA13" t="s">
        <v>246</v>
      </c>
      <c r="BB13" t="s">
        <v>246</v>
      </c>
      <c r="BC13">
        <v>100</v>
      </c>
      <c r="BD13" t="s">
        <v>247</v>
      </c>
      <c r="BP13" t="s">
        <v>240</v>
      </c>
      <c r="BQ13" t="s">
        <v>240</v>
      </c>
    </row>
    <row r="14" ht="14.25" spans="1:75">
      <c r="D14" t="s">
        <v>225</v>
      </c>
      <c r="E14" s="2" t="s">
        <v>248</v>
      </c>
      <c r="F14" t="s">
        <v>249</v>
      </c>
      <c r="G14" s="2" t="str">
        <f>VLOOKUP(F14,SCTP描述信息!D:E,2,0)</f>
        <v>UniRan 12.4(LTE V5.50.51)</v>
      </c>
      <c r="H14" s="54" t="s">
        <v>250</v>
      </c>
      <c r="I14" s="54" t="s">
        <v>250</v>
      </c>
      <c r="AA14" t="s">
        <v>251</v>
      </c>
      <c r="AB14">
        <v>452984833</v>
      </c>
      <c r="AJ14" t="s">
        <v>252</v>
      </c>
      <c r="BC14" s="29"/>
      <c r="BD14" s="29"/>
    </row>
    <row r="15" ht="14.25" spans="1:75">
      <c r="D15" t="s">
        <v>225</v>
      </c>
      <c r="E15" s="2" t="s">
        <v>253</v>
      </c>
      <c r="F15" t="s">
        <v>254</v>
      </c>
      <c r="G15" s="2" t="str">
        <f>VLOOKUP(F15,SCTP描述信息!D:E,2,0)</f>
        <v>UniRan 12.3(GLN V5.50.51)</v>
      </c>
      <c r="H15" s="54" t="s">
        <v>255</v>
      </c>
      <c r="I15" s="54" t="s">
        <v>255</v>
      </c>
      <c r="AA15" t="s">
        <v>256</v>
      </c>
      <c r="AB15">
        <v>452984881</v>
      </c>
      <c r="BB15" s="84" t="s">
        <v>257</v>
      </c>
      <c r="BC15" s="29"/>
      <c r="BD15" s="29"/>
      <c r="BR15" s="65"/>
      <c r="BS15" s="65"/>
      <c r="BT15" s="65"/>
      <c r="BU15" s="65"/>
      <c r="BV15" s="65"/>
      <c r="BW15" s="65"/>
    </row>
    <row r="16" ht="14.25" spans="1:75">
      <c r="D16" t="s">
        <v>258</v>
      </c>
      <c r="E16" t="s">
        <v>259</v>
      </c>
      <c r="F16">
        <v>16</v>
      </c>
      <c r="G16" s="2" t="str">
        <f>VLOOKUP(F16,SCTP描述信息!D:E,2,0)</f>
        <v>UniRan 12.4(LTE V5.50.51)</v>
      </c>
      <c r="H16" s="54" t="s">
        <v>175</v>
      </c>
      <c r="I16" s="54" t="s">
        <v>175</v>
      </c>
      <c r="AA16" t="s">
        <v>260</v>
      </c>
      <c r="AB16">
        <v>1281</v>
      </c>
      <c r="AH16" s="83"/>
      <c r="AI16" s="83"/>
      <c r="AJ16" s="83"/>
      <c r="AK16" s="83"/>
      <c r="AL16" s="83"/>
      <c r="AM16" s="83"/>
      <c r="AN16" s="83"/>
      <c r="AO16" s="83"/>
      <c r="AV16" t="s">
        <v>158</v>
      </c>
      <c r="AX16">
        <v>39</v>
      </c>
      <c r="AY16">
        <v>1895</v>
      </c>
      <c r="BA16" t="s">
        <v>246</v>
      </c>
      <c r="BB16">
        <v>5</v>
      </c>
      <c r="BC16">
        <v>100</v>
      </c>
      <c r="BD16" t="s">
        <v>247</v>
      </c>
      <c r="BR16" s="65"/>
      <c r="BS16" s="65"/>
      <c r="BT16" s="65"/>
      <c r="BU16" s="65"/>
      <c r="BV16" s="65"/>
      <c r="BW16" s="65"/>
    </row>
    <row r="17" ht="14.25" spans="1:75">
      <c r="D17" t="s">
        <v>149</v>
      </c>
      <c r="E17" t="s">
        <v>150</v>
      </c>
      <c r="F17">
        <v>32</v>
      </c>
      <c r="G17" s="2" t="str">
        <f>VLOOKUP(F17,SCTP描述信息!D:E,2,0)</f>
        <v>UniRan 12.4(LTE V5.50.51)</v>
      </c>
      <c r="H17" s="54" t="s">
        <v>261</v>
      </c>
      <c r="I17" s="54" t="s">
        <v>261</v>
      </c>
      <c r="AA17" t="s">
        <v>262</v>
      </c>
      <c r="AB17">
        <v>20</v>
      </c>
      <c r="AV17" t="s">
        <v>263</v>
      </c>
      <c r="AX17">
        <v>39</v>
      </c>
      <c r="AY17" s="88">
        <v>1909.4</v>
      </c>
      <c r="BA17" s="29" t="s">
        <v>234</v>
      </c>
      <c r="BB17">
        <v>5</v>
      </c>
      <c r="BC17">
        <v>50</v>
      </c>
      <c r="BD17" t="s">
        <v>235</v>
      </c>
    </row>
    <row r="18" spans="1:75">
      <c r="AA18" t="s">
        <v>264</v>
      </c>
      <c r="AB18">
        <v>26</v>
      </c>
      <c r="AV18" t="s">
        <v>265</v>
      </c>
      <c r="AX18">
        <v>34</v>
      </c>
      <c r="AY18">
        <v>2017.5</v>
      </c>
      <c r="BA18" s="29" t="s">
        <v>266</v>
      </c>
      <c r="BB18">
        <v>5</v>
      </c>
      <c r="BC18">
        <v>75</v>
      </c>
      <c r="BD18" t="s">
        <v>267</v>
      </c>
    </row>
    <row r="19" spans="1:75">
      <c r="AA19" t="s">
        <v>264</v>
      </c>
      <c r="AB19">
        <v>1281</v>
      </c>
      <c r="AV19" t="s">
        <v>268</v>
      </c>
      <c r="AX19">
        <v>40</v>
      </c>
      <c r="AY19">
        <v>2330</v>
      </c>
      <c r="BA19" t="s">
        <v>246</v>
      </c>
      <c r="BB19">
        <v>7</v>
      </c>
      <c r="BC19">
        <v>100</v>
      </c>
      <c r="BD19" t="s">
        <v>247</v>
      </c>
      <c r="BR19" s="83" t="s">
        <v>269</v>
      </c>
      <c r="BS19" s="83"/>
      <c r="BT19" s="83"/>
      <c r="BU19" s="83"/>
      <c r="BV19" s="83"/>
      <c r="BW19" s="83"/>
    </row>
    <row r="20" ht="14.25" spans="1:75">
      <c r="D20" t="s">
        <v>270</v>
      </c>
      <c r="E20" s="2" t="s">
        <v>271</v>
      </c>
      <c r="AA20" t="s">
        <v>272</v>
      </c>
      <c r="AB20">
        <v>100663425</v>
      </c>
      <c r="AV20" t="s">
        <v>273</v>
      </c>
      <c r="AX20">
        <v>40</v>
      </c>
      <c r="AY20">
        <v>2349.8</v>
      </c>
      <c r="BA20" t="s">
        <v>246</v>
      </c>
      <c r="BB20">
        <v>7</v>
      </c>
      <c r="BC20">
        <v>100</v>
      </c>
      <c r="BD20" t="s">
        <v>247</v>
      </c>
      <c r="BR20" s="89" t="s">
        <v>274</v>
      </c>
      <c r="BS20" s="89"/>
      <c r="BT20" s="89"/>
      <c r="BU20" s="89"/>
      <c r="BV20" s="89"/>
      <c r="BW20" s="89"/>
    </row>
    <row r="21" ht="14.25" spans="1:75">
      <c r="D21" t="s">
        <v>270</v>
      </c>
      <c r="E21" s="2" t="s">
        <v>275</v>
      </c>
      <c r="AA21" t="s">
        <v>276</v>
      </c>
      <c r="AB21">
        <v>452984881</v>
      </c>
      <c r="AV21" t="s">
        <v>277</v>
      </c>
      <c r="AX21">
        <v>40</v>
      </c>
      <c r="AY21">
        <v>2364.2</v>
      </c>
      <c r="BA21" s="29" t="s">
        <v>234</v>
      </c>
      <c r="BB21">
        <v>7</v>
      </c>
      <c r="BC21">
        <v>50</v>
      </c>
      <c r="BD21" t="s">
        <v>235</v>
      </c>
      <c r="BR21" s="83" t="s">
        <v>278</v>
      </c>
      <c r="BS21" s="83"/>
      <c r="BT21" s="83"/>
      <c r="BU21" s="83"/>
      <c r="BV21" s="83"/>
      <c r="BW21" s="83"/>
    </row>
    <row r="22" ht="14.25" spans="1:75">
      <c r="D22" t="s">
        <v>270</v>
      </c>
      <c r="E22" s="2" t="s">
        <v>279</v>
      </c>
      <c r="AA22" t="s">
        <v>280</v>
      </c>
      <c r="AB22">
        <v>452984833</v>
      </c>
      <c r="AV22" t="s">
        <v>281</v>
      </c>
      <c r="AX22">
        <v>41</v>
      </c>
      <c r="AY22" s="29">
        <v>2624.6</v>
      </c>
      <c r="BA22" t="s">
        <v>246</v>
      </c>
      <c r="BB22">
        <v>7</v>
      </c>
      <c r="BC22">
        <v>100</v>
      </c>
      <c r="BD22" t="s">
        <v>247</v>
      </c>
      <c r="BR22" s="83" t="s">
        <v>282</v>
      </c>
      <c r="BS22" s="83"/>
      <c r="BT22" s="83"/>
      <c r="BU22" s="83"/>
      <c r="BV22" s="83"/>
      <c r="BW22" s="83"/>
    </row>
    <row r="23" spans="1:75">
      <c r="D23" t="s">
        <v>283</v>
      </c>
      <c r="E23" s="87" t="s">
        <v>284</v>
      </c>
      <c r="AA23" t="s">
        <v>262</v>
      </c>
      <c r="AB23">
        <v>7</v>
      </c>
      <c r="AV23" t="s">
        <v>285</v>
      </c>
      <c r="AX23">
        <v>41</v>
      </c>
      <c r="AY23">
        <v>2644.4</v>
      </c>
      <c r="BA23" t="s">
        <v>246</v>
      </c>
      <c r="BB23">
        <v>7</v>
      </c>
      <c r="BC23">
        <v>100</v>
      </c>
      <c r="BD23" t="s">
        <v>247</v>
      </c>
    </row>
    <row r="24" spans="1:75">
      <c r="D24" t="s">
        <v>286</v>
      </c>
      <c r="E24" s="87" t="s">
        <v>287</v>
      </c>
      <c r="AA24" t="s">
        <v>288</v>
      </c>
      <c r="AB24">
        <v>100663297</v>
      </c>
      <c r="AV24" t="s">
        <v>289</v>
      </c>
      <c r="AX24">
        <v>41</v>
      </c>
      <c r="AY24">
        <v>2664.2</v>
      </c>
      <c r="BA24" t="s">
        <v>246</v>
      </c>
      <c r="BB24">
        <v>7</v>
      </c>
      <c r="BC24">
        <v>100</v>
      </c>
      <c r="BD24" t="s">
        <v>247</v>
      </c>
      <c r="BR24" s="50" t="s">
        <v>290</v>
      </c>
      <c r="BS24" s="50"/>
      <c r="BT24" s="50"/>
      <c r="BU24" s="50"/>
      <c r="BV24" s="50"/>
      <c r="BW24" s="50"/>
    </row>
    <row r="25" spans="1:75">
      <c r="AA25" t="s">
        <v>291</v>
      </c>
      <c r="AB25">
        <v>1281</v>
      </c>
      <c r="BR25" s="50" t="s">
        <v>292</v>
      </c>
      <c r="BS25" s="50"/>
      <c r="BT25" s="50"/>
      <c r="BU25" s="50"/>
      <c r="BV25" s="50"/>
      <c r="BW25" s="50"/>
    </row>
    <row r="26" spans="1:75">
      <c r="AA26" t="s">
        <v>293</v>
      </c>
      <c r="AB26">
        <v>452984881</v>
      </c>
      <c r="BR26" s="50" t="s">
        <v>195</v>
      </c>
      <c r="BS26" s="50"/>
      <c r="BT26" s="50"/>
      <c r="BU26" s="50"/>
      <c r="BV26" s="50"/>
      <c r="BW26" s="50"/>
    </row>
    <row r="27" spans="1:75">
      <c r="AA27" t="s">
        <v>294</v>
      </c>
      <c r="AB27">
        <v>452984833</v>
      </c>
      <c r="BR27" s="50" t="s">
        <v>197</v>
      </c>
      <c r="BS27" s="50"/>
      <c r="BT27" s="50"/>
      <c r="BU27" s="50"/>
      <c r="BV27" s="50"/>
      <c r="BW27" s="50"/>
    </row>
    <row r="28" spans="1:75">
      <c r="AA28" t="s">
        <v>260</v>
      </c>
      <c r="AB28">
        <v>20</v>
      </c>
    </row>
    <row r="29" spans="1:75">
      <c r="AA29" t="s">
        <v>295</v>
      </c>
      <c r="AB29">
        <v>452984833</v>
      </c>
      <c r="BR29" s="65" t="s">
        <v>296</v>
      </c>
      <c r="BV29" s="65" t="s">
        <v>297</v>
      </c>
    </row>
    <row r="30" spans="1:75">
      <c r="A30" s="90" t="s">
        <v>298</v>
      </c>
      <c r="B30" s="91"/>
      <c r="C30" s="91"/>
      <c r="AA30" t="s">
        <v>299</v>
      </c>
      <c r="AB30">
        <v>1090519041</v>
      </c>
      <c r="BR30" s="54" t="s">
        <v>239</v>
      </c>
      <c r="BV30" s="54" t="s">
        <v>300</v>
      </c>
    </row>
    <row r="31" ht="83" customHeight="1" spans="1:75">
      <c r="A31" s="91"/>
      <c r="B31" s="91"/>
      <c r="C31" s="91"/>
      <c r="AA31" t="s">
        <v>228</v>
      </c>
      <c r="AB31">
        <v>26</v>
      </c>
      <c r="BR31" s="54" t="s">
        <v>250</v>
      </c>
      <c r="BV31" s="54" t="s">
        <v>301</v>
      </c>
    </row>
    <row r="32" spans="1:75">
      <c r="BR32" s="54" t="s">
        <v>255</v>
      </c>
      <c r="BV32" s="54" t="s">
        <v>302</v>
      </c>
    </row>
    <row r="33" spans="70:74">
      <c r="BR33" s="54" t="s">
        <v>175</v>
      </c>
      <c r="BV33" s="54" t="s">
        <v>303</v>
      </c>
    </row>
    <row r="34" spans="70:74">
      <c r="BR34" s="54" t="s">
        <v>261</v>
      </c>
      <c r="BV34" s="54" t="s">
        <v>304</v>
      </c>
    </row>
    <row r="35" spans="70:74">
      <c r="BV35" s="54" t="s">
        <v>305</v>
      </c>
    </row>
    <row r="36" spans="70:74">
      <c r="BV36" s="54" t="s">
        <v>306</v>
      </c>
    </row>
    <row r="37" spans="70:74">
      <c r="BV37" s="54" t="s">
        <v>163</v>
      </c>
    </row>
    <row r="38" spans="70:74">
      <c r="BV38" s="54" t="s">
        <v>307</v>
      </c>
    </row>
    <row r="39" spans="70:74">
      <c r="BV39" s="54" t="s">
        <v>308</v>
      </c>
    </row>
    <row r="40" spans="70:74">
      <c r="BV40" s="54" t="s">
        <v>309</v>
      </c>
    </row>
    <row r="41" spans="70:74">
      <c r="BV41" s="54" t="s">
        <v>310</v>
      </c>
    </row>
    <row r="42" spans="70:74">
      <c r="BV42" s="54" t="s">
        <v>311</v>
      </c>
    </row>
    <row r="43" spans="70:74">
      <c r="BV43" s="54" t="s">
        <v>312</v>
      </c>
    </row>
    <row r="44" spans="70:74">
      <c r="BV44" s="54" t="s">
        <v>313</v>
      </c>
    </row>
    <row r="45" spans="70:74">
      <c r="BV45" s="54" t="s">
        <v>314</v>
      </c>
    </row>
    <row r="46" spans="70:74">
      <c r="BV46" s="54" t="s">
        <v>315</v>
      </c>
    </row>
    <row r="47" spans="70:74">
      <c r="BV47" s="54" t="s">
        <v>316</v>
      </c>
    </row>
    <row r="48" spans="70:74">
      <c r="BV48" s="54" t="s">
        <v>317</v>
      </c>
    </row>
    <row r="49" spans="74:74">
      <c r="BV49" s="54" t="s">
        <v>318</v>
      </c>
    </row>
    <row r="50" spans="74:74">
      <c r="BV50" s="65"/>
    </row>
  </sheetData>
  <mergeCells count="19">
    <mergeCell ref="H10:X10"/>
    <mergeCell ref="AD10:AE10"/>
    <mergeCell ref="AH10:AK10"/>
    <mergeCell ref="AX10:BD10"/>
    <mergeCell ref="BK10:BO10"/>
    <mergeCell ref="H11:I11"/>
    <mergeCell ref="AD11:AE11"/>
    <mergeCell ref="AH16:AO16"/>
    <mergeCell ref="BR19:BW19"/>
    <mergeCell ref="BR20:BW20"/>
    <mergeCell ref="BR21:BW21"/>
    <mergeCell ref="BR22:BW22"/>
    <mergeCell ref="BR24:BW24"/>
    <mergeCell ref="BR25:BW25"/>
    <mergeCell ref="BR26:BW26"/>
    <mergeCell ref="BR27:BW27"/>
    <mergeCell ref="BR4:BR5"/>
    <mergeCell ref="BR9:BS10"/>
    <mergeCell ref="A30:C31"/>
  </mergeCells>
  <conditionalFormatting sqref="E12:E15">
    <cfRule type="duplicateValues" dxfId="0" priority="2"/>
  </conditionalFormatting>
  <conditionalFormatting sqref="E20:E22">
    <cfRule type="duplicateValues" dxfId="0" priority="1"/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I21"/>
  <sheetViews>
    <sheetView zoomScale="93" zoomScaleNormal="93" topLeftCell="AJ1" workbookViewId="0">
      <selection activeCell="BG3" sqref="BG3:BI3"/>
    </sheetView>
  </sheetViews>
  <sheetFormatPr defaultColWidth="9" defaultRowHeight="13.5"/>
  <cols>
    <col min="1" max="1" width="21.7666666666667" customWidth="1"/>
  </cols>
  <sheetData>
    <row r="1" ht="18.75" spans="1:61">
      <c r="A1" s="18" t="s">
        <v>319</v>
      </c>
      <c r="B1" s="19">
        <v>3</v>
      </c>
      <c r="C1" s="19">
        <v>3</v>
      </c>
      <c r="D1" s="19">
        <v>3</v>
      </c>
      <c r="E1" s="19">
        <v>3</v>
      </c>
      <c r="F1" s="19">
        <v>3</v>
      </c>
      <c r="G1" s="19">
        <v>3</v>
      </c>
      <c r="H1" s="19">
        <v>4</v>
      </c>
      <c r="I1" s="19">
        <v>4</v>
      </c>
      <c r="J1" s="19">
        <v>4</v>
      </c>
      <c r="K1" s="19">
        <v>4</v>
      </c>
      <c r="L1" s="19">
        <v>4</v>
      </c>
      <c r="M1" s="19">
        <v>4</v>
      </c>
      <c r="N1" s="19">
        <v>5</v>
      </c>
      <c r="O1" s="19">
        <v>5</v>
      </c>
      <c r="P1" s="19">
        <v>5</v>
      </c>
      <c r="Q1" s="19">
        <v>5</v>
      </c>
      <c r="R1" s="19">
        <v>5</v>
      </c>
      <c r="S1" s="19">
        <v>5</v>
      </c>
      <c r="T1" s="19">
        <v>6</v>
      </c>
      <c r="U1" s="19">
        <v>6</v>
      </c>
      <c r="V1" s="19">
        <v>6</v>
      </c>
      <c r="W1" s="19">
        <v>6</v>
      </c>
      <c r="X1" s="19">
        <v>6</v>
      </c>
      <c r="Y1" s="19">
        <v>6</v>
      </c>
      <c r="Z1" s="20">
        <v>7</v>
      </c>
      <c r="AA1" s="20">
        <v>7</v>
      </c>
      <c r="AB1" s="20">
        <v>7</v>
      </c>
      <c r="AC1" s="20">
        <v>7</v>
      </c>
      <c r="AD1" s="20">
        <v>7</v>
      </c>
      <c r="AE1" s="20">
        <v>7</v>
      </c>
      <c r="AF1" s="20">
        <v>8</v>
      </c>
      <c r="AG1" s="20">
        <v>8</v>
      </c>
      <c r="AH1" s="20">
        <v>8</v>
      </c>
      <c r="AI1" s="20">
        <v>8</v>
      </c>
      <c r="AJ1" s="20">
        <v>8</v>
      </c>
      <c r="AK1" s="20">
        <v>8</v>
      </c>
      <c r="AL1" s="20">
        <v>9</v>
      </c>
      <c r="AM1" s="20">
        <v>9</v>
      </c>
      <c r="AN1" s="20">
        <v>9</v>
      </c>
      <c r="AO1" s="20">
        <v>9</v>
      </c>
      <c r="AP1" s="20">
        <v>9</v>
      </c>
      <c r="AQ1" s="20">
        <v>9</v>
      </c>
      <c r="AR1" s="20">
        <v>10</v>
      </c>
      <c r="AS1" s="20">
        <v>10</v>
      </c>
      <c r="AT1" s="20">
        <v>10</v>
      </c>
      <c r="AU1" s="20">
        <v>10</v>
      </c>
      <c r="AV1" s="20">
        <v>10</v>
      </c>
      <c r="AW1" s="20">
        <v>10</v>
      </c>
      <c r="AX1" s="20">
        <v>11</v>
      </c>
      <c r="AY1" s="20">
        <v>11</v>
      </c>
      <c r="AZ1" s="20">
        <v>11</v>
      </c>
      <c r="BA1" s="20">
        <v>11</v>
      </c>
      <c r="BB1" s="20">
        <v>11</v>
      </c>
      <c r="BC1" s="20">
        <v>11</v>
      </c>
      <c r="BD1" s="20">
        <v>12</v>
      </c>
      <c r="BE1" s="20">
        <v>12</v>
      </c>
      <c r="BF1" s="20">
        <v>12</v>
      </c>
      <c r="BG1" s="20">
        <v>12</v>
      </c>
      <c r="BH1" s="20">
        <v>12</v>
      </c>
      <c r="BI1" s="20">
        <v>12</v>
      </c>
    </row>
    <row r="2" ht="20.25" spans="1:61">
      <c r="A2" s="21" t="s">
        <v>320</v>
      </c>
      <c r="B2" s="22">
        <v>5</v>
      </c>
      <c r="C2" s="22">
        <v>4</v>
      </c>
      <c r="D2" s="22">
        <v>3</v>
      </c>
      <c r="E2" s="22">
        <v>2</v>
      </c>
      <c r="F2" s="22">
        <v>1</v>
      </c>
      <c r="G2" s="22">
        <v>0</v>
      </c>
      <c r="H2" s="22">
        <v>5</v>
      </c>
      <c r="I2" s="22">
        <v>4</v>
      </c>
      <c r="J2" s="22">
        <v>3</v>
      </c>
      <c r="K2" s="22">
        <v>2</v>
      </c>
      <c r="L2" s="22">
        <v>1</v>
      </c>
      <c r="M2" s="22">
        <v>0</v>
      </c>
      <c r="N2" s="22">
        <v>5</v>
      </c>
      <c r="O2" s="22">
        <v>4</v>
      </c>
      <c r="P2" s="22">
        <v>3</v>
      </c>
      <c r="Q2" s="22">
        <v>2</v>
      </c>
      <c r="R2" s="22">
        <v>1</v>
      </c>
      <c r="S2" s="22">
        <v>0</v>
      </c>
      <c r="T2" s="22">
        <v>5</v>
      </c>
      <c r="U2" s="22">
        <v>4</v>
      </c>
      <c r="V2" s="22">
        <v>3</v>
      </c>
      <c r="W2" s="22">
        <v>2</v>
      </c>
      <c r="X2" s="22">
        <v>1</v>
      </c>
      <c r="Y2" s="22">
        <v>0</v>
      </c>
      <c r="Z2" s="22">
        <v>5</v>
      </c>
      <c r="AA2" s="22">
        <v>4</v>
      </c>
      <c r="AB2" s="22">
        <v>3</v>
      </c>
      <c r="AC2" s="22">
        <v>2</v>
      </c>
      <c r="AD2" s="22">
        <v>1</v>
      </c>
      <c r="AE2" s="22">
        <v>0</v>
      </c>
      <c r="AF2" s="22">
        <v>5</v>
      </c>
      <c r="AG2" s="22">
        <v>4</v>
      </c>
      <c r="AH2" s="22">
        <v>3</v>
      </c>
      <c r="AI2" s="22">
        <v>2</v>
      </c>
      <c r="AJ2" s="22">
        <v>1</v>
      </c>
      <c r="AK2" s="22">
        <v>0</v>
      </c>
      <c r="AL2" s="22">
        <v>5</v>
      </c>
      <c r="AM2" s="22">
        <v>4</v>
      </c>
      <c r="AN2" s="22">
        <v>3</v>
      </c>
      <c r="AO2" s="22">
        <v>2</v>
      </c>
      <c r="AP2" s="22">
        <v>1</v>
      </c>
      <c r="AQ2" s="22">
        <v>0</v>
      </c>
      <c r="AR2" s="22">
        <v>5</v>
      </c>
      <c r="AS2" s="22">
        <v>4</v>
      </c>
      <c r="AT2" s="22">
        <v>3</v>
      </c>
      <c r="AU2" s="22">
        <v>2</v>
      </c>
      <c r="AV2" s="22">
        <v>1</v>
      </c>
      <c r="AW2" s="22">
        <v>0</v>
      </c>
      <c r="AX2" s="22">
        <v>5</v>
      </c>
      <c r="AY2" s="22">
        <v>4</v>
      </c>
      <c r="AZ2" s="22">
        <v>3</v>
      </c>
      <c r="BA2" s="22">
        <v>2</v>
      </c>
      <c r="BB2" s="22">
        <v>1</v>
      </c>
      <c r="BC2" s="22">
        <v>0</v>
      </c>
      <c r="BD2" s="22">
        <v>5</v>
      </c>
      <c r="BE2" s="22">
        <v>4</v>
      </c>
      <c r="BF2" s="22">
        <v>3</v>
      </c>
      <c r="BG2" s="22">
        <v>2</v>
      </c>
      <c r="BH2" s="22">
        <v>1</v>
      </c>
      <c r="BI2" s="22">
        <v>0</v>
      </c>
    </row>
    <row r="3" ht="18.75" spans="1:61">
      <c r="A3" s="18" t="s">
        <v>321</v>
      </c>
      <c r="B3" s="23"/>
      <c r="C3" s="24"/>
      <c r="D3" s="25"/>
      <c r="E3" s="26"/>
      <c r="F3" s="27"/>
      <c r="G3" s="28"/>
      <c r="H3" s="23"/>
      <c r="I3" s="24"/>
      <c r="J3" s="25"/>
      <c r="K3" s="26"/>
      <c r="L3" s="27"/>
      <c r="M3" s="28"/>
      <c r="N3" s="23"/>
      <c r="O3" s="24"/>
      <c r="P3" s="25"/>
      <c r="Q3" s="26"/>
      <c r="R3" s="27"/>
      <c r="S3" s="28"/>
      <c r="T3" s="23"/>
      <c r="U3" s="24"/>
      <c r="V3" s="25"/>
      <c r="W3" s="26"/>
      <c r="X3" s="27"/>
      <c r="Y3" s="28"/>
      <c r="Z3" s="23"/>
      <c r="AA3" s="24"/>
      <c r="AB3" s="25"/>
      <c r="AC3" s="26"/>
      <c r="AD3" s="27"/>
      <c r="AE3" s="28"/>
      <c r="AF3" s="23"/>
      <c r="AG3" s="24"/>
      <c r="AH3" s="25"/>
      <c r="AI3" s="26"/>
      <c r="AJ3" s="27"/>
      <c r="AK3" s="28"/>
      <c r="AL3" s="23"/>
      <c r="AM3" s="24"/>
      <c r="AN3" s="25"/>
      <c r="AR3" s="23"/>
      <c r="AS3" s="24"/>
      <c r="AT3" s="25"/>
      <c r="AU3" s="26"/>
      <c r="AV3" s="27"/>
      <c r="AW3" s="28"/>
      <c r="AX3" s="23"/>
      <c r="AY3" s="24"/>
      <c r="AZ3" s="25"/>
      <c r="BA3" s="26"/>
      <c r="BB3" s="27"/>
      <c r="BC3" s="28"/>
      <c r="BD3" s="23"/>
      <c r="BE3" s="24"/>
      <c r="BF3" s="25"/>
      <c r="BG3" s="26">
        <v>86</v>
      </c>
      <c r="BH3" s="27">
        <v>85</v>
      </c>
      <c r="BI3" s="28">
        <v>84</v>
      </c>
    </row>
    <row r="4" spans="1:61">
      <c r="B4" s="23"/>
      <c r="C4" s="24"/>
      <c r="D4" s="25"/>
      <c r="E4" s="26"/>
      <c r="F4" s="27"/>
      <c r="G4" s="28"/>
      <c r="H4" s="23"/>
      <c r="I4" s="24"/>
      <c r="J4" s="25"/>
      <c r="K4" s="26"/>
      <c r="L4" s="27"/>
      <c r="M4" s="28"/>
      <c r="N4" s="23"/>
      <c r="O4" s="24"/>
      <c r="P4" s="25"/>
      <c r="Q4" s="26"/>
      <c r="R4" s="27"/>
      <c r="S4" s="28"/>
      <c r="T4" s="23"/>
      <c r="U4" s="24"/>
      <c r="V4" s="25"/>
      <c r="W4" s="26"/>
      <c r="X4" s="27"/>
      <c r="Y4" s="28"/>
      <c r="Z4" s="23"/>
      <c r="AA4" s="24"/>
      <c r="AB4" s="25"/>
      <c r="AC4" s="26"/>
      <c r="AD4" s="27"/>
      <c r="AE4" s="28"/>
      <c r="AF4" s="23"/>
      <c r="AG4" s="24"/>
      <c r="AH4" s="25"/>
      <c r="AI4" s="26"/>
      <c r="AJ4" s="27"/>
      <c r="AK4" s="28"/>
      <c r="AL4" s="23"/>
      <c r="AM4" s="24"/>
      <c r="AN4" s="25"/>
      <c r="AO4" s="26"/>
      <c r="AP4" s="27"/>
      <c r="AQ4" s="28"/>
      <c r="AR4" s="23"/>
      <c r="AS4" s="24"/>
      <c r="AT4" s="25"/>
      <c r="AU4" s="26"/>
      <c r="AV4" s="27"/>
      <c r="AW4" s="28"/>
      <c r="AX4" s="23"/>
      <c r="AY4" s="24"/>
      <c r="AZ4" s="25"/>
      <c r="BA4" s="26"/>
      <c r="BB4" s="27"/>
      <c r="BC4" s="28"/>
      <c r="BD4" s="23"/>
      <c r="BE4" s="24"/>
      <c r="BF4" s="25"/>
      <c r="BG4" s="26"/>
      <c r="BH4" s="27"/>
      <c r="BI4" s="28"/>
    </row>
    <row r="5" spans="1:61">
      <c r="B5" s="23"/>
      <c r="C5" s="24"/>
      <c r="D5" s="25"/>
      <c r="E5" s="26"/>
      <c r="F5" s="27"/>
      <c r="G5" s="28"/>
      <c r="H5" s="23"/>
      <c r="I5" s="24"/>
      <c r="J5" s="25"/>
      <c r="K5" s="26"/>
      <c r="L5" s="27"/>
      <c r="M5" s="28"/>
      <c r="N5" s="23"/>
      <c r="O5" s="24"/>
      <c r="P5" s="25"/>
      <c r="Q5" s="26"/>
      <c r="R5" s="27"/>
      <c r="S5" s="28"/>
      <c r="T5" s="23"/>
      <c r="U5" s="24"/>
      <c r="V5" s="25"/>
      <c r="W5" s="26"/>
      <c r="X5" s="27"/>
      <c r="Y5" s="28"/>
      <c r="Z5" s="23"/>
      <c r="AA5" s="24"/>
      <c r="AB5" s="25"/>
      <c r="AC5" s="26"/>
      <c r="AD5" s="27"/>
      <c r="AE5" s="28"/>
      <c r="AF5" s="23"/>
      <c r="AG5" s="24"/>
      <c r="AH5" s="25"/>
      <c r="AI5" s="26"/>
      <c r="AJ5" s="27"/>
      <c r="AK5" s="28"/>
      <c r="AL5" s="23"/>
      <c r="AM5" s="24"/>
      <c r="AN5" s="25"/>
      <c r="AO5" s="26"/>
      <c r="AP5" s="27"/>
      <c r="AQ5" s="28"/>
      <c r="AR5" s="23"/>
      <c r="AS5" s="24"/>
      <c r="AT5" s="25"/>
      <c r="AU5" s="26"/>
      <c r="AV5" s="27"/>
      <c r="AW5" s="28"/>
      <c r="AX5" s="23"/>
      <c r="AY5" s="24"/>
      <c r="AZ5" s="25"/>
      <c r="BA5" s="26"/>
      <c r="BB5" s="27"/>
      <c r="BC5" s="28"/>
      <c r="BD5" s="23"/>
      <c r="BE5" s="24"/>
      <c r="BF5" s="25"/>
      <c r="BG5" s="26"/>
      <c r="BH5" s="27"/>
      <c r="BI5" s="28"/>
    </row>
    <row r="6" spans="1:61">
      <c r="B6" s="23"/>
      <c r="C6" s="24"/>
      <c r="D6" s="25"/>
      <c r="E6" s="26"/>
      <c r="F6" s="27"/>
      <c r="G6" s="28"/>
      <c r="H6" s="23"/>
      <c r="I6" s="24"/>
      <c r="J6" s="25"/>
      <c r="K6" s="26"/>
      <c r="L6" s="27"/>
      <c r="M6" s="28"/>
      <c r="N6" s="23"/>
      <c r="O6" s="24"/>
      <c r="P6" s="25"/>
      <c r="Q6" s="26"/>
      <c r="R6" s="27"/>
      <c r="S6" s="28"/>
      <c r="T6" s="23"/>
      <c r="U6" s="24"/>
      <c r="V6" s="25"/>
      <c r="W6" s="26"/>
      <c r="X6" s="27"/>
      <c r="Y6" s="28"/>
      <c r="Z6" s="23"/>
      <c r="AA6" s="24"/>
      <c r="AB6" s="25"/>
      <c r="AC6" s="26"/>
      <c r="AD6" s="27"/>
      <c r="AE6" s="28"/>
      <c r="AF6" s="23"/>
      <c r="AG6" s="24"/>
      <c r="AH6" s="25"/>
      <c r="AI6" s="26"/>
      <c r="AJ6" s="27"/>
      <c r="AK6" s="28"/>
      <c r="AL6" s="23"/>
      <c r="AM6" s="24"/>
      <c r="AN6" s="25"/>
      <c r="AO6" s="26"/>
      <c r="AP6" s="27"/>
      <c r="AQ6" s="28"/>
      <c r="AR6" s="23"/>
      <c r="AS6" s="24"/>
      <c r="AT6" s="25"/>
      <c r="AU6" s="26"/>
      <c r="AV6" s="27"/>
      <c r="AW6" s="28"/>
      <c r="AX6" s="23"/>
      <c r="AY6" s="24"/>
      <c r="AZ6" s="25"/>
      <c r="BA6" s="26"/>
      <c r="BB6" s="27"/>
      <c r="BC6" s="28"/>
      <c r="BD6" s="23"/>
      <c r="BE6" s="24"/>
      <c r="BF6" s="25"/>
      <c r="BG6" s="26"/>
      <c r="BH6" s="27"/>
      <c r="BI6" s="28"/>
    </row>
    <row r="7" spans="1:61">
      <c r="B7" s="23"/>
      <c r="C7" s="24"/>
      <c r="D7" s="25"/>
      <c r="E7" s="26"/>
      <c r="F7" s="27"/>
      <c r="G7" s="28"/>
      <c r="H7" s="23"/>
      <c r="I7" s="24"/>
      <c r="J7" s="25"/>
      <c r="K7" s="26"/>
      <c r="L7" s="27"/>
      <c r="M7" s="28"/>
      <c r="N7" s="23"/>
      <c r="O7" s="24"/>
      <c r="P7" s="25"/>
      <c r="Q7" s="26"/>
      <c r="R7" s="27"/>
      <c r="S7" s="28"/>
      <c r="T7" s="23"/>
      <c r="U7" s="24"/>
      <c r="V7" s="25"/>
      <c r="W7" s="26"/>
      <c r="X7" s="27"/>
      <c r="Y7" s="28"/>
      <c r="Z7" s="23"/>
      <c r="AA7" s="24"/>
      <c r="AB7" s="25"/>
      <c r="AC7" s="26"/>
      <c r="AD7" s="27"/>
      <c r="AE7" s="28"/>
      <c r="AF7" s="23"/>
      <c r="AG7" s="24"/>
      <c r="AH7" s="25"/>
      <c r="AI7" s="26"/>
      <c r="AJ7" s="27"/>
      <c r="AK7" s="28"/>
      <c r="AL7" s="23"/>
      <c r="AM7" s="24"/>
      <c r="AN7" s="25"/>
      <c r="AO7" s="26"/>
      <c r="AP7" s="27"/>
      <c r="AQ7" s="28"/>
      <c r="AR7" s="23"/>
      <c r="AS7" s="24"/>
      <c r="AT7" s="25"/>
      <c r="AU7" s="26"/>
      <c r="AV7" s="27"/>
      <c r="AW7" s="28"/>
      <c r="AX7" s="23"/>
      <c r="AY7" s="24"/>
      <c r="AZ7" s="25"/>
      <c r="BA7" s="26"/>
      <c r="BB7" s="27"/>
      <c r="BC7" s="28"/>
      <c r="BD7" s="23"/>
      <c r="BE7" s="24"/>
      <c r="BF7" s="25"/>
      <c r="BG7" s="26"/>
      <c r="BH7" s="27"/>
      <c r="BI7" s="28"/>
    </row>
    <row r="8" spans="1:61">
      <c r="B8" s="23"/>
      <c r="C8" s="24"/>
      <c r="D8" s="25"/>
      <c r="E8" s="26"/>
      <c r="F8" s="27"/>
      <c r="G8" s="28"/>
      <c r="H8" s="23"/>
      <c r="I8" s="24"/>
      <c r="J8" s="25"/>
      <c r="K8" s="26"/>
      <c r="L8" s="27"/>
      <c r="M8" s="28"/>
      <c r="N8" s="23"/>
      <c r="O8" s="24"/>
      <c r="P8" s="25"/>
      <c r="Q8" s="26"/>
      <c r="R8" s="27"/>
      <c r="S8" s="28"/>
      <c r="T8" s="23"/>
      <c r="U8" s="24"/>
      <c r="V8" s="25"/>
      <c r="W8" s="26"/>
      <c r="X8" s="27"/>
      <c r="Y8" s="28"/>
      <c r="Z8" s="23"/>
      <c r="AA8" s="24"/>
      <c r="AB8" s="25"/>
      <c r="AC8" s="26"/>
      <c r="AD8" s="27"/>
      <c r="AE8" s="28"/>
      <c r="AF8" s="23"/>
      <c r="AG8" s="24"/>
      <c r="AH8" s="25"/>
      <c r="AI8" s="26"/>
      <c r="AJ8" s="27"/>
      <c r="AK8" s="28"/>
      <c r="AL8" s="23"/>
      <c r="AM8" s="24"/>
      <c r="AN8" s="25"/>
      <c r="AO8" s="26"/>
      <c r="AP8" s="27"/>
      <c r="AQ8" s="28"/>
      <c r="AR8" s="23"/>
      <c r="AS8" s="24"/>
      <c r="AT8" s="25"/>
      <c r="AU8" s="26"/>
      <c r="AV8" s="27"/>
      <c r="AW8" s="28"/>
      <c r="AX8" s="23"/>
      <c r="AY8" s="24"/>
      <c r="AZ8" s="25"/>
      <c r="BA8" s="26"/>
      <c r="BB8" s="27"/>
      <c r="BC8" s="28"/>
      <c r="BD8" s="23"/>
      <c r="BE8" s="24"/>
      <c r="BF8" s="25"/>
      <c r="BG8" s="26"/>
      <c r="BH8" s="27"/>
      <c r="BI8" s="28"/>
    </row>
    <row r="9" spans="1:61">
      <c r="B9" s="23"/>
      <c r="C9" s="24"/>
      <c r="D9" s="25"/>
      <c r="E9" s="26"/>
      <c r="F9" s="27"/>
      <c r="G9" s="28"/>
      <c r="H9" s="23"/>
      <c r="I9" s="24"/>
      <c r="J9" s="25"/>
      <c r="K9" s="26"/>
      <c r="L9" s="27"/>
      <c r="M9" s="28"/>
      <c r="N9" s="23"/>
      <c r="O9" s="24"/>
      <c r="P9" s="25"/>
      <c r="Q9" s="26"/>
      <c r="R9" s="27"/>
      <c r="S9" s="28"/>
      <c r="T9" s="23"/>
      <c r="U9" s="24"/>
      <c r="V9" s="25"/>
      <c r="W9" s="26"/>
      <c r="X9" s="27"/>
      <c r="Y9" s="28"/>
      <c r="Z9" s="23"/>
      <c r="AA9" s="24"/>
      <c r="AB9" s="25"/>
      <c r="AC9" s="26"/>
      <c r="AD9" s="27"/>
      <c r="AE9" s="28"/>
      <c r="AF9" s="23"/>
      <c r="AG9" s="24"/>
      <c r="AH9" s="25"/>
      <c r="AI9" s="26"/>
      <c r="AJ9" s="27"/>
      <c r="AK9" s="28"/>
      <c r="AL9" s="23"/>
      <c r="AM9" s="24"/>
      <c r="AN9" s="25"/>
      <c r="AO9" s="26"/>
      <c r="AP9" s="27"/>
      <c r="AQ9" s="28"/>
      <c r="AR9" s="23"/>
      <c r="AS9" s="24"/>
      <c r="AT9" s="25"/>
      <c r="AU9" s="26"/>
      <c r="AV9" s="27"/>
      <c r="AW9" s="28"/>
      <c r="AX9" s="23"/>
      <c r="AY9" s="24"/>
      <c r="AZ9" s="25"/>
      <c r="BA9" s="26"/>
      <c r="BB9" s="27"/>
      <c r="BC9" s="28"/>
      <c r="BD9" s="23"/>
      <c r="BE9" s="24"/>
      <c r="BF9" s="25"/>
      <c r="BG9" s="26"/>
      <c r="BH9" s="27"/>
      <c r="BI9" s="28"/>
    </row>
    <row r="10" spans="1:61">
      <c r="B10" s="23"/>
      <c r="C10" s="24"/>
      <c r="D10" s="25"/>
      <c r="E10" s="26"/>
      <c r="F10" s="27"/>
      <c r="G10" s="28"/>
      <c r="H10" s="23"/>
      <c r="I10" s="24"/>
      <c r="J10" s="25"/>
      <c r="K10" s="26"/>
      <c r="L10" s="27"/>
      <c r="M10" s="28"/>
      <c r="N10" s="23"/>
      <c r="O10" s="24"/>
      <c r="P10" s="25"/>
      <c r="Q10" s="26"/>
      <c r="R10" s="27"/>
      <c r="S10" s="28"/>
      <c r="T10" s="23"/>
      <c r="U10" s="24"/>
      <c r="V10" s="25"/>
      <c r="W10" s="26"/>
      <c r="X10" s="27"/>
      <c r="Y10" s="28"/>
      <c r="Z10" s="23"/>
      <c r="AA10" s="24"/>
      <c r="AB10" s="25"/>
      <c r="AC10" s="26"/>
      <c r="AD10" s="27"/>
      <c r="AE10" s="28"/>
      <c r="AF10" s="23"/>
      <c r="AG10" s="24"/>
      <c r="AH10" s="25"/>
      <c r="AI10" s="26"/>
      <c r="AJ10" s="27"/>
      <c r="AK10" s="28"/>
      <c r="AL10" s="23"/>
      <c r="AM10" s="24"/>
      <c r="AN10" s="25"/>
      <c r="AO10" s="26"/>
      <c r="AP10" s="27"/>
      <c r="AQ10" s="28"/>
      <c r="AR10" s="23"/>
      <c r="AS10" s="24"/>
      <c r="AT10" s="25"/>
      <c r="AU10" s="26"/>
      <c r="AV10" s="27"/>
      <c r="AW10" s="28"/>
      <c r="AX10" s="23"/>
      <c r="AY10" s="24"/>
      <c r="AZ10" s="25"/>
      <c r="BA10" s="26"/>
      <c r="BB10" s="27"/>
      <c r="BC10" s="28"/>
      <c r="BD10" s="23"/>
      <c r="BE10" s="24"/>
      <c r="BF10" s="25"/>
      <c r="BG10" s="26"/>
      <c r="BH10" s="27"/>
      <c r="BI10" s="28"/>
    </row>
    <row r="11" spans="1:61">
      <c r="B11" s="23"/>
      <c r="C11" s="24"/>
      <c r="D11" s="25"/>
      <c r="E11" s="26"/>
      <c r="F11" s="27"/>
      <c r="G11" s="28"/>
      <c r="H11" s="23"/>
      <c r="I11" s="24"/>
      <c r="J11" s="25"/>
      <c r="K11" s="26"/>
      <c r="L11" s="27"/>
      <c r="M11" s="28"/>
      <c r="N11" s="23"/>
      <c r="O11" s="24"/>
      <c r="P11" s="25"/>
      <c r="Q11" s="26"/>
      <c r="R11" s="27"/>
      <c r="S11" s="28"/>
      <c r="T11" s="23"/>
      <c r="U11" s="24"/>
      <c r="V11" s="25"/>
      <c r="W11" s="26"/>
      <c r="X11" s="27"/>
      <c r="Y11" s="28"/>
      <c r="Z11" s="23"/>
      <c r="AA11" s="24"/>
      <c r="AB11" s="25"/>
      <c r="AC11" s="26"/>
      <c r="AD11" s="27"/>
      <c r="AE11" s="28"/>
      <c r="AF11" s="23"/>
      <c r="AG11" s="24"/>
      <c r="AH11" s="25"/>
      <c r="AI11" s="26"/>
      <c r="AJ11" s="27"/>
      <c r="AK11" s="28"/>
      <c r="AL11" s="23"/>
      <c r="AM11" s="24"/>
      <c r="AN11" s="25"/>
      <c r="AO11" s="26"/>
      <c r="AP11" s="27"/>
      <c r="AQ11" s="28"/>
      <c r="AR11" s="23"/>
      <c r="AS11" s="24"/>
      <c r="AT11" s="25"/>
      <c r="AU11" s="26"/>
      <c r="AV11" s="27"/>
      <c r="AW11" s="28"/>
      <c r="AX11" s="23"/>
      <c r="AY11" s="24"/>
      <c r="AZ11" s="25"/>
      <c r="BA11" s="26"/>
      <c r="BB11" s="27"/>
      <c r="BC11" s="28"/>
      <c r="BD11" s="23"/>
      <c r="BE11" s="24"/>
      <c r="BF11" s="25"/>
      <c r="BG11" s="26"/>
      <c r="BH11" s="27"/>
      <c r="BI11" s="28"/>
    </row>
    <row r="12" spans="1:61">
      <c r="B12" s="23"/>
      <c r="C12" s="24"/>
      <c r="D12" s="25"/>
      <c r="E12" s="26"/>
      <c r="F12" s="27"/>
      <c r="G12" s="28"/>
      <c r="H12" s="23"/>
      <c r="I12" s="24"/>
      <c r="J12" s="25"/>
      <c r="K12" s="26"/>
      <c r="L12" s="27"/>
      <c r="M12" s="28"/>
      <c r="N12" s="23"/>
      <c r="O12" s="24"/>
      <c r="P12" s="25"/>
      <c r="Q12" s="26"/>
      <c r="R12" s="27"/>
      <c r="S12" s="28"/>
      <c r="T12" s="23"/>
      <c r="U12" s="24"/>
      <c r="V12" s="25"/>
      <c r="W12" s="26"/>
      <c r="X12" s="27"/>
      <c r="Y12" s="28"/>
      <c r="Z12" s="23"/>
      <c r="AA12" s="24"/>
      <c r="AB12" s="25"/>
      <c r="AC12" s="26"/>
      <c r="AD12" s="27"/>
      <c r="AE12" s="28"/>
      <c r="AF12" s="23"/>
      <c r="AG12" s="24"/>
      <c r="AH12" s="25"/>
      <c r="AI12" s="26"/>
      <c r="AJ12" s="27"/>
      <c r="AK12" s="28"/>
      <c r="AL12" s="23"/>
      <c r="AM12" s="24"/>
      <c r="AN12" s="25"/>
      <c r="AO12" s="26"/>
      <c r="AP12" s="27"/>
      <c r="AQ12" s="28"/>
      <c r="AR12" s="23"/>
      <c r="AS12" s="24"/>
      <c r="AT12" s="25"/>
      <c r="AU12" s="26"/>
      <c r="AV12" s="27"/>
      <c r="AW12" s="28"/>
      <c r="AX12" s="23"/>
      <c r="AY12" s="24"/>
      <c r="AZ12" s="25"/>
      <c r="BA12" s="26"/>
      <c r="BB12" s="27"/>
      <c r="BC12" s="28"/>
      <c r="BD12" s="23"/>
      <c r="BE12" s="24"/>
      <c r="BF12" s="25"/>
      <c r="BG12" s="26"/>
      <c r="BH12" s="27"/>
      <c r="BI12" s="28"/>
    </row>
    <row r="16" ht="187" customHeight="1" spans="1:61">
      <c r="A16" s="29" t="s">
        <v>322</v>
      </c>
      <c r="B16" s="29"/>
      <c r="C16" s="29"/>
      <c r="D16" s="29"/>
      <c r="E16" s="29"/>
      <c r="F16" s="29"/>
      <c r="G16" s="29"/>
    </row>
    <row r="17" spans="1:7">
      <c r="A17" s="29"/>
      <c r="B17" s="29"/>
      <c r="C17" s="29"/>
      <c r="D17" s="29"/>
      <c r="E17" s="29"/>
      <c r="F17" s="29"/>
      <c r="G17" s="29"/>
    </row>
    <row r="18" spans="1:7">
      <c r="A18" s="29"/>
      <c r="B18" s="29"/>
      <c r="C18" s="29"/>
      <c r="D18" s="29"/>
      <c r="E18" s="29"/>
      <c r="F18" s="29"/>
      <c r="G18" s="29"/>
    </row>
    <row r="19" spans="1:7">
      <c r="A19" s="29"/>
      <c r="B19" s="29"/>
      <c r="C19" s="29"/>
      <c r="D19" s="29"/>
      <c r="E19" s="29"/>
      <c r="F19" s="29"/>
      <c r="G19" s="29"/>
    </row>
    <row r="20" spans="1:7">
      <c r="A20" s="29"/>
      <c r="B20" s="29"/>
      <c r="C20" s="29"/>
      <c r="D20" s="29"/>
      <c r="E20" s="29"/>
      <c r="F20" s="29"/>
      <c r="G20" s="29"/>
    </row>
    <row r="21" spans="1:7">
      <c r="A21" s="29"/>
      <c r="B21" s="29"/>
      <c r="C21" s="29"/>
      <c r="D21" s="29"/>
      <c r="E21" s="29"/>
      <c r="F21" s="29"/>
      <c r="G21" s="29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2:E50"/>
  <sheetViews>
    <sheetView workbookViewId="0">
      <selection activeCell="B11" sqref="B11"/>
    </sheetView>
  </sheetViews>
  <sheetFormatPr defaultColWidth="9" defaultRowHeight="13.5" outlineLevelCol="4"/>
  <sheetData>
    <row r="2" spans="1:5">
      <c r="A2" t="s">
        <v>323</v>
      </c>
      <c r="B2" t="s">
        <v>324</v>
      </c>
    </row>
    <row r="3" ht="24" spans="1:5">
      <c r="A3" s="11" t="s">
        <v>325</v>
      </c>
      <c r="B3" s="12" t="s">
        <v>326</v>
      </c>
      <c r="C3" s="13" t="s">
        <v>77</v>
      </c>
      <c r="D3" s="14" t="s">
        <v>327</v>
      </c>
      <c r="E3" s="14" t="s">
        <v>328</v>
      </c>
    </row>
    <row r="4" spans="1:5">
      <c r="A4" s="15" t="s">
        <v>239</v>
      </c>
      <c r="B4" s="16" t="s">
        <v>300</v>
      </c>
      <c r="C4" s="17" t="s">
        <v>228</v>
      </c>
      <c r="D4" s="17" t="s">
        <v>329</v>
      </c>
      <c r="E4" s="17" t="s">
        <v>330</v>
      </c>
    </row>
    <row r="5" spans="1:5">
      <c r="A5" s="15" t="s">
        <v>250</v>
      </c>
      <c r="B5" s="16" t="s">
        <v>301</v>
      </c>
      <c r="C5" s="17" t="s">
        <v>152</v>
      </c>
      <c r="D5" s="17" t="s">
        <v>331</v>
      </c>
      <c r="E5" s="17" t="s">
        <v>332</v>
      </c>
    </row>
    <row r="6" spans="1:5">
      <c r="A6" s="15" t="s">
        <v>255</v>
      </c>
      <c r="B6" s="16" t="s">
        <v>302</v>
      </c>
      <c r="C6" s="17" t="s">
        <v>251</v>
      </c>
      <c r="D6" s="17" t="s">
        <v>331</v>
      </c>
      <c r="E6" s="17" t="s">
        <v>333</v>
      </c>
    </row>
    <row r="7" spans="1:5">
      <c r="A7" s="15" t="s">
        <v>175</v>
      </c>
      <c r="B7" s="16" t="s">
        <v>303</v>
      </c>
      <c r="C7" s="17" t="s">
        <v>256</v>
      </c>
      <c r="D7" s="17" t="s">
        <v>331</v>
      </c>
      <c r="E7" s="17" t="s">
        <v>332</v>
      </c>
    </row>
    <row r="8" spans="1:5">
      <c r="A8" s="15" t="s">
        <v>261</v>
      </c>
      <c r="B8" s="16" t="s">
        <v>304</v>
      </c>
      <c r="C8" s="17" t="s">
        <v>260</v>
      </c>
      <c r="D8" s="17" t="s">
        <v>329</v>
      </c>
      <c r="E8" s="17" t="s">
        <v>330</v>
      </c>
    </row>
    <row r="9" spans="1:5">
      <c r="B9" s="16" t="s">
        <v>305</v>
      </c>
      <c r="C9" s="17" t="s">
        <v>262</v>
      </c>
      <c r="D9" s="17" t="s">
        <v>254</v>
      </c>
      <c r="E9" s="17" t="s">
        <v>334</v>
      </c>
    </row>
    <row r="10" spans="1:5">
      <c r="B10" s="16" t="s">
        <v>306</v>
      </c>
      <c r="C10" s="17" t="s">
        <v>264</v>
      </c>
      <c r="D10" s="17" t="s">
        <v>335</v>
      </c>
      <c r="E10" s="17" t="s">
        <v>336</v>
      </c>
    </row>
    <row r="11" spans="1:5">
      <c r="B11" s="16" t="s">
        <v>163</v>
      </c>
      <c r="C11" s="17" t="s">
        <v>264</v>
      </c>
      <c r="D11" s="17" t="s">
        <v>329</v>
      </c>
      <c r="E11" s="17" t="s">
        <v>330</v>
      </c>
    </row>
    <row r="12" spans="1:5">
      <c r="B12" s="16" t="s">
        <v>307</v>
      </c>
      <c r="C12" s="17" t="s">
        <v>272</v>
      </c>
      <c r="D12" s="17" t="s">
        <v>331</v>
      </c>
      <c r="E12" s="17" t="s">
        <v>337</v>
      </c>
    </row>
    <row r="13" spans="1:5">
      <c r="B13" s="16" t="s">
        <v>308</v>
      </c>
      <c r="C13" s="17" t="s">
        <v>276</v>
      </c>
      <c r="D13" s="17" t="s">
        <v>331</v>
      </c>
      <c r="E13" s="17" t="s">
        <v>332</v>
      </c>
    </row>
    <row r="14" spans="1:5">
      <c r="B14" s="16" t="s">
        <v>309</v>
      </c>
      <c r="C14" s="17" t="s">
        <v>280</v>
      </c>
      <c r="D14" s="17" t="s">
        <v>331</v>
      </c>
      <c r="E14" s="17" t="s">
        <v>333</v>
      </c>
    </row>
    <row r="15" spans="1:5">
      <c r="B15" s="16" t="s">
        <v>310</v>
      </c>
      <c r="C15" s="17" t="s">
        <v>262</v>
      </c>
      <c r="D15" s="17" t="s">
        <v>338</v>
      </c>
      <c r="E15" s="17" t="s">
        <v>339</v>
      </c>
    </row>
    <row r="16" spans="1:5">
      <c r="B16" s="16" t="s">
        <v>311</v>
      </c>
      <c r="C16" s="17" t="s">
        <v>288</v>
      </c>
      <c r="D16" s="17" t="s">
        <v>331</v>
      </c>
      <c r="E16" s="17" t="s">
        <v>340</v>
      </c>
    </row>
    <row r="17" spans="2:5">
      <c r="B17" s="16" t="s">
        <v>312</v>
      </c>
      <c r="C17" s="17" t="s">
        <v>291</v>
      </c>
      <c r="D17" s="17" t="s">
        <v>329</v>
      </c>
      <c r="E17" s="17" t="s">
        <v>330</v>
      </c>
    </row>
    <row r="18" spans="2:5">
      <c r="B18" s="16" t="s">
        <v>313</v>
      </c>
      <c r="C18" s="17" t="s">
        <v>293</v>
      </c>
      <c r="D18" s="17" t="s">
        <v>331</v>
      </c>
      <c r="E18" s="17" t="s">
        <v>332</v>
      </c>
    </row>
    <row r="19" spans="2:5">
      <c r="B19" s="16" t="s">
        <v>314</v>
      </c>
      <c r="C19" s="17" t="s">
        <v>341</v>
      </c>
      <c r="D19" s="17" t="s">
        <v>331</v>
      </c>
      <c r="E19" s="17" t="s">
        <v>340</v>
      </c>
    </row>
    <row r="20" spans="2:5">
      <c r="B20" s="16" t="s">
        <v>315</v>
      </c>
      <c r="C20" s="17" t="s">
        <v>294</v>
      </c>
      <c r="D20" s="17" t="s">
        <v>331</v>
      </c>
      <c r="E20" s="17" t="s">
        <v>333</v>
      </c>
    </row>
    <row r="21" spans="2:5">
      <c r="B21" s="16" t="s">
        <v>316</v>
      </c>
      <c r="C21" s="17" t="s">
        <v>260</v>
      </c>
      <c r="D21" s="17" t="s">
        <v>254</v>
      </c>
      <c r="E21" s="17" t="s">
        <v>334</v>
      </c>
    </row>
    <row r="22" spans="2:5">
      <c r="B22" s="16" t="s">
        <v>317</v>
      </c>
      <c r="C22" s="17" t="s">
        <v>295</v>
      </c>
      <c r="D22" s="17" t="s">
        <v>331</v>
      </c>
      <c r="E22" s="17" t="s">
        <v>333</v>
      </c>
    </row>
    <row r="23" spans="2:5">
      <c r="B23" s="16" t="s">
        <v>318</v>
      </c>
      <c r="C23" s="17" t="s">
        <v>342</v>
      </c>
      <c r="D23" s="17" t="s">
        <v>343</v>
      </c>
      <c r="E23" s="17" t="s">
        <v>344</v>
      </c>
    </row>
    <row r="24" spans="2:5">
      <c r="C24" s="17" t="s">
        <v>299</v>
      </c>
      <c r="D24" s="17" t="s">
        <v>249</v>
      </c>
      <c r="E24" s="17" t="s">
        <v>345</v>
      </c>
    </row>
    <row r="25" spans="2:5">
      <c r="C25" s="17" t="s">
        <v>228</v>
      </c>
      <c r="D25" s="17" t="s">
        <v>335</v>
      </c>
      <c r="E25" s="17" t="s">
        <v>336</v>
      </c>
    </row>
    <row r="26" spans="2:5">
      <c r="C26" s="17" t="s">
        <v>264</v>
      </c>
      <c r="D26" s="17" t="s">
        <v>254</v>
      </c>
      <c r="E26" s="17" t="s">
        <v>334</v>
      </c>
    </row>
    <row r="27" spans="2:5">
      <c r="C27" s="17" t="s">
        <v>262</v>
      </c>
      <c r="D27" s="17" t="s">
        <v>329</v>
      </c>
      <c r="E27" s="17" t="s">
        <v>330</v>
      </c>
    </row>
    <row r="28" spans="2:5">
      <c r="C28" s="17" t="s">
        <v>346</v>
      </c>
      <c r="D28" s="17" t="s">
        <v>329</v>
      </c>
      <c r="E28" s="17" t="s">
        <v>330</v>
      </c>
    </row>
    <row r="29" spans="2:5">
      <c r="C29" s="17" t="s">
        <v>347</v>
      </c>
      <c r="D29" s="17" t="s">
        <v>329</v>
      </c>
      <c r="E29" s="17" t="s">
        <v>330</v>
      </c>
    </row>
    <row r="30" spans="2:5">
      <c r="C30" s="17" t="s">
        <v>348</v>
      </c>
      <c r="D30" s="17" t="s">
        <v>331</v>
      </c>
      <c r="E30" s="17" t="s">
        <v>333</v>
      </c>
    </row>
    <row r="31" spans="2:5">
      <c r="C31" s="17" t="s">
        <v>349</v>
      </c>
      <c r="D31" s="17" t="s">
        <v>331</v>
      </c>
      <c r="E31" s="17" t="s">
        <v>340</v>
      </c>
    </row>
    <row r="32" spans="2:5">
      <c r="C32" s="17" t="s">
        <v>350</v>
      </c>
      <c r="D32" s="17" t="s">
        <v>331</v>
      </c>
      <c r="E32" s="17" t="s">
        <v>340</v>
      </c>
    </row>
    <row r="33" spans="3:5">
      <c r="C33" s="17" t="s">
        <v>351</v>
      </c>
      <c r="D33" s="17" t="s">
        <v>331</v>
      </c>
      <c r="E33" s="17" t="s">
        <v>340</v>
      </c>
    </row>
    <row r="34" spans="3:5">
      <c r="C34" s="17" t="s">
        <v>228</v>
      </c>
      <c r="D34" s="17" t="s">
        <v>254</v>
      </c>
      <c r="E34" s="17" t="s">
        <v>334</v>
      </c>
    </row>
    <row r="35" spans="3:5">
      <c r="C35" s="17" t="s">
        <v>352</v>
      </c>
      <c r="D35" s="17" t="s">
        <v>331</v>
      </c>
      <c r="E35" s="17" t="s">
        <v>340</v>
      </c>
    </row>
    <row r="36" spans="3:5">
      <c r="C36" s="17" t="s">
        <v>353</v>
      </c>
      <c r="D36" s="17" t="s">
        <v>331</v>
      </c>
      <c r="E36" s="17" t="s">
        <v>333</v>
      </c>
    </row>
    <row r="37" spans="3:5">
      <c r="C37" s="17" t="s">
        <v>262</v>
      </c>
      <c r="D37" s="17" t="s">
        <v>335</v>
      </c>
      <c r="E37" s="17" t="s">
        <v>336</v>
      </c>
    </row>
    <row r="38" spans="3:5">
      <c r="C38" s="17" t="s">
        <v>354</v>
      </c>
      <c r="D38" s="17" t="s">
        <v>343</v>
      </c>
      <c r="E38" s="17" t="s">
        <v>355</v>
      </c>
    </row>
    <row r="39" spans="3:5">
      <c r="C39" s="17" t="s">
        <v>356</v>
      </c>
      <c r="D39" s="17" t="s">
        <v>249</v>
      </c>
      <c r="E39" s="17" t="s">
        <v>357</v>
      </c>
    </row>
    <row r="40" spans="3:5">
      <c r="C40" s="17" t="s">
        <v>260</v>
      </c>
      <c r="D40" s="17" t="s">
        <v>335</v>
      </c>
      <c r="E40" s="17" t="s">
        <v>336</v>
      </c>
    </row>
    <row r="41" spans="3:5">
      <c r="C41" s="17" t="s">
        <v>347</v>
      </c>
      <c r="D41" s="17" t="s">
        <v>335</v>
      </c>
      <c r="E41" s="17" t="s">
        <v>336</v>
      </c>
    </row>
    <row r="42" spans="3:5">
      <c r="C42" s="17" t="s">
        <v>358</v>
      </c>
      <c r="D42" s="17" t="s">
        <v>331</v>
      </c>
      <c r="E42" s="17" t="s">
        <v>333</v>
      </c>
    </row>
    <row r="43" spans="3:5">
      <c r="C43" s="17" t="s">
        <v>359</v>
      </c>
      <c r="D43" s="17" t="s">
        <v>249</v>
      </c>
      <c r="E43" s="17" t="s">
        <v>345</v>
      </c>
    </row>
    <row r="44" spans="3:5">
      <c r="C44" s="17" t="s">
        <v>360</v>
      </c>
      <c r="D44" s="17" t="s">
        <v>343</v>
      </c>
      <c r="E44" s="17" t="s">
        <v>361</v>
      </c>
    </row>
    <row r="45" spans="3:5">
      <c r="C45" s="17" t="s">
        <v>362</v>
      </c>
      <c r="D45" s="17" t="s">
        <v>249</v>
      </c>
      <c r="E45" s="17" t="s">
        <v>345</v>
      </c>
    </row>
    <row r="46" spans="3:5">
      <c r="C46" s="17" t="s">
        <v>363</v>
      </c>
      <c r="D46" s="17" t="s">
        <v>331</v>
      </c>
      <c r="E46" s="17" t="s">
        <v>333</v>
      </c>
    </row>
    <row r="47" spans="3:5">
      <c r="C47" s="17" t="s">
        <v>364</v>
      </c>
      <c r="D47" s="17" t="s">
        <v>331</v>
      </c>
      <c r="E47" s="17" t="s">
        <v>340</v>
      </c>
    </row>
    <row r="48" spans="3:5">
      <c r="C48" s="17" t="s">
        <v>262</v>
      </c>
      <c r="D48" s="17" t="s">
        <v>365</v>
      </c>
      <c r="E48" s="17" t="s">
        <v>366</v>
      </c>
    </row>
    <row r="49" spans="3:5">
      <c r="C49" s="17" t="s">
        <v>367</v>
      </c>
      <c r="D49" s="17" t="s">
        <v>329</v>
      </c>
      <c r="E49" s="17" t="s">
        <v>355</v>
      </c>
    </row>
    <row r="50" spans="3:5">
      <c r="C50" s="17" t="s">
        <v>342</v>
      </c>
      <c r="D50" s="17" t="s">
        <v>343</v>
      </c>
      <c r="E50" s="17" t="s">
        <v>361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4"/>
  <dimension ref="A1:H27"/>
  <sheetViews>
    <sheetView topLeftCell="A19" workbookViewId="0">
      <selection activeCell="F21" sqref="F21"/>
    </sheetView>
  </sheetViews>
  <sheetFormatPr defaultColWidth="8.89166666666667" defaultRowHeight="13.5" outlineLevelCol="7"/>
  <cols>
    <col min="3" max="3" width="21.4416666666667" customWidth="1"/>
    <col min="7" max="7" width="18.6666666666667" customWidth="1"/>
  </cols>
  <sheetData>
    <row r="1" spans="1:8">
      <c r="A1" s="4" t="s">
        <v>368</v>
      </c>
      <c r="B1" s="4" t="s">
        <v>369</v>
      </c>
      <c r="C1" s="4" t="s">
        <v>370</v>
      </c>
      <c r="D1" s="4" t="s">
        <v>371</v>
      </c>
      <c r="E1" s="4" t="s">
        <v>372</v>
      </c>
      <c r="F1" s="4" t="s">
        <v>373</v>
      </c>
      <c r="G1" s="4" t="s">
        <v>374</v>
      </c>
      <c r="H1" s="4" t="s">
        <v>109</v>
      </c>
    </row>
    <row r="2" ht="31.5" spans="1:8">
      <c r="A2" s="6" t="s">
        <v>363</v>
      </c>
      <c r="B2" s="5" t="s">
        <v>375</v>
      </c>
      <c r="C2" s="4" t="s">
        <v>376</v>
      </c>
      <c r="D2" s="4">
        <v>202</v>
      </c>
      <c r="E2" s="4" t="s">
        <v>377</v>
      </c>
      <c r="F2" s="4" t="s">
        <v>378</v>
      </c>
      <c r="G2" s="4">
        <v>12.2</v>
      </c>
      <c r="H2" s="4">
        <v>0</v>
      </c>
    </row>
    <row r="3" ht="31.5" spans="1:8">
      <c r="A3" s="7" t="s">
        <v>363</v>
      </c>
      <c r="B3" s="5" t="s">
        <v>379</v>
      </c>
      <c r="C3" s="4" t="s">
        <v>380</v>
      </c>
      <c r="D3" s="4">
        <v>202</v>
      </c>
      <c r="E3" s="4" t="s">
        <v>381</v>
      </c>
      <c r="F3" s="4" t="s">
        <v>382</v>
      </c>
      <c r="G3" s="4">
        <v>12.2</v>
      </c>
      <c r="H3" s="4">
        <v>0</v>
      </c>
    </row>
    <row r="4" ht="31.5" spans="1:8">
      <c r="A4" s="6" t="s">
        <v>383</v>
      </c>
      <c r="B4" s="8" t="s">
        <v>375</v>
      </c>
      <c r="C4" s="9" t="s">
        <v>384</v>
      </c>
      <c r="D4" s="4">
        <v>351</v>
      </c>
      <c r="E4" s="4" t="s">
        <v>385</v>
      </c>
      <c r="F4" s="4" t="s">
        <v>386</v>
      </c>
      <c r="G4" s="4">
        <v>12.2</v>
      </c>
      <c r="H4" s="4">
        <v>1</v>
      </c>
    </row>
    <row r="5" ht="31.5" spans="1:8">
      <c r="A5" s="7" t="s">
        <v>383</v>
      </c>
      <c r="B5" s="8" t="s">
        <v>387</v>
      </c>
      <c r="C5" s="4" t="s">
        <v>388</v>
      </c>
      <c r="D5" s="4">
        <v>351</v>
      </c>
      <c r="E5" s="4" t="s">
        <v>389</v>
      </c>
      <c r="F5" s="4" t="s">
        <v>390</v>
      </c>
      <c r="G5" s="4">
        <v>12.2</v>
      </c>
      <c r="H5" s="4">
        <v>1</v>
      </c>
    </row>
    <row r="6" ht="31.5" spans="1:8">
      <c r="A6" s="10" t="s">
        <v>352</v>
      </c>
      <c r="B6" s="5" t="s">
        <v>391</v>
      </c>
      <c r="C6" s="93" t="s">
        <v>392</v>
      </c>
      <c r="D6" s="4">
        <v>201</v>
      </c>
      <c r="E6" s="4" t="s">
        <v>393</v>
      </c>
      <c r="F6" s="4" t="s">
        <v>394</v>
      </c>
      <c r="G6" s="4">
        <v>12.2</v>
      </c>
      <c r="H6" s="4">
        <v>0</v>
      </c>
    </row>
    <row r="7" ht="31.5" spans="1:8">
      <c r="A7" s="10" t="s">
        <v>395</v>
      </c>
      <c r="B7" s="5" t="s">
        <v>379</v>
      </c>
      <c r="C7" s="4" t="s">
        <v>376</v>
      </c>
      <c r="D7" s="4" t="s">
        <v>396</v>
      </c>
      <c r="E7" s="4" t="s">
        <v>377</v>
      </c>
      <c r="F7" s="4" t="s">
        <v>378</v>
      </c>
      <c r="G7" s="4">
        <v>12.2</v>
      </c>
      <c r="H7" s="4">
        <v>0</v>
      </c>
    </row>
    <row r="8" ht="31.5" spans="1:8">
      <c r="A8" s="10" t="s">
        <v>397</v>
      </c>
      <c r="B8" s="5" t="s">
        <v>379</v>
      </c>
      <c r="C8" s="4" t="s">
        <v>376</v>
      </c>
      <c r="D8" s="4" t="s">
        <v>396</v>
      </c>
      <c r="E8" s="4" t="s">
        <v>377</v>
      </c>
      <c r="F8" s="4" t="s">
        <v>378</v>
      </c>
      <c r="G8" s="4">
        <v>12.2</v>
      </c>
      <c r="H8" s="4">
        <v>0</v>
      </c>
    </row>
    <row r="9" ht="31.5" spans="1:8">
      <c r="A9" s="10" t="s">
        <v>276</v>
      </c>
      <c r="B9" s="5" t="s">
        <v>375</v>
      </c>
      <c r="C9" s="4" t="s">
        <v>398</v>
      </c>
      <c r="D9" s="4">
        <v>16</v>
      </c>
      <c r="E9" s="4" t="s">
        <v>399</v>
      </c>
      <c r="F9" s="4" t="s">
        <v>400</v>
      </c>
      <c r="G9" s="4">
        <v>15.2</v>
      </c>
      <c r="H9" s="4">
        <v>1</v>
      </c>
    </row>
    <row r="10" ht="31.5" spans="1:8">
      <c r="A10" s="10" t="s">
        <v>293</v>
      </c>
      <c r="B10" s="5" t="s">
        <v>375</v>
      </c>
      <c r="C10" s="4" t="s">
        <v>376</v>
      </c>
      <c r="D10" s="4" t="s">
        <v>396</v>
      </c>
      <c r="E10" s="4" t="s">
        <v>377</v>
      </c>
      <c r="F10" s="4" t="s">
        <v>378</v>
      </c>
      <c r="G10" s="4">
        <v>15.2</v>
      </c>
      <c r="H10" s="4">
        <v>0</v>
      </c>
    </row>
    <row r="11" ht="31.5" spans="1:8">
      <c r="A11" s="6" t="s">
        <v>401</v>
      </c>
      <c r="B11" s="5" t="s">
        <v>375</v>
      </c>
      <c r="C11" s="93" t="s">
        <v>402</v>
      </c>
      <c r="D11" s="4">
        <v>201</v>
      </c>
      <c r="E11" s="4" t="s">
        <v>403</v>
      </c>
      <c r="F11" s="4" t="s">
        <v>404</v>
      </c>
      <c r="G11" s="4">
        <v>15.2</v>
      </c>
      <c r="H11" s="4">
        <v>0</v>
      </c>
    </row>
    <row r="12" ht="31.5" spans="1:8">
      <c r="A12" s="7" t="s">
        <v>401</v>
      </c>
      <c r="B12" s="5" t="s">
        <v>391</v>
      </c>
      <c r="C12" s="93" t="s">
        <v>392</v>
      </c>
      <c r="D12" s="4">
        <v>201</v>
      </c>
      <c r="E12" s="4" t="s">
        <v>393</v>
      </c>
      <c r="F12" s="4" t="s">
        <v>394</v>
      </c>
      <c r="G12" s="4">
        <v>15.2</v>
      </c>
      <c r="H12" s="4">
        <v>0</v>
      </c>
    </row>
    <row r="13" ht="31.5" spans="1:8">
      <c r="A13" s="10" t="s">
        <v>405</v>
      </c>
      <c r="B13" s="5" t="s">
        <v>391</v>
      </c>
      <c r="C13" s="4" t="s">
        <v>376</v>
      </c>
      <c r="D13" s="4" t="s">
        <v>396</v>
      </c>
      <c r="E13" s="4" t="s">
        <v>377</v>
      </c>
      <c r="F13" s="4" t="s">
        <v>378</v>
      </c>
      <c r="G13" s="4">
        <v>15.2</v>
      </c>
      <c r="H13" s="4">
        <v>0</v>
      </c>
    </row>
    <row r="14" ht="31.5" spans="1:8">
      <c r="A14" s="10" t="s">
        <v>348</v>
      </c>
      <c r="B14" s="5" t="s">
        <v>375</v>
      </c>
      <c r="C14" s="4" t="s">
        <v>376</v>
      </c>
      <c r="D14" s="4" t="s">
        <v>396</v>
      </c>
      <c r="E14" s="4" t="s">
        <v>377</v>
      </c>
      <c r="F14" s="4" t="s">
        <v>378</v>
      </c>
      <c r="G14" s="4">
        <v>15.2</v>
      </c>
      <c r="H14" s="4">
        <v>0</v>
      </c>
    </row>
    <row r="15" ht="31.5" spans="1:8">
      <c r="A15" s="6" t="s">
        <v>294</v>
      </c>
      <c r="B15" s="5" t="s">
        <v>375</v>
      </c>
      <c r="C15" s="93" t="s">
        <v>402</v>
      </c>
      <c r="D15" s="4">
        <v>201</v>
      </c>
      <c r="E15" s="4" t="s">
        <v>403</v>
      </c>
      <c r="F15" s="4" t="s">
        <v>404</v>
      </c>
      <c r="G15" s="4">
        <v>15.2</v>
      </c>
      <c r="H15" s="4">
        <v>0</v>
      </c>
    </row>
    <row r="16" ht="31.5" spans="1:8">
      <c r="A16" s="7" t="s">
        <v>294</v>
      </c>
      <c r="B16" s="5" t="s">
        <v>391</v>
      </c>
      <c r="C16" s="93" t="s">
        <v>392</v>
      </c>
      <c r="D16" s="4">
        <v>201</v>
      </c>
      <c r="E16" s="4" t="s">
        <v>393</v>
      </c>
      <c r="F16" s="4" t="s">
        <v>394</v>
      </c>
      <c r="G16" s="4">
        <v>15.2</v>
      </c>
      <c r="H16" s="4">
        <v>0</v>
      </c>
    </row>
    <row r="17" ht="47.25" spans="1:8">
      <c r="A17" s="6" t="s">
        <v>358</v>
      </c>
      <c r="B17" s="5" t="s">
        <v>375</v>
      </c>
      <c r="C17" s="93" t="s">
        <v>402</v>
      </c>
      <c r="D17" s="4">
        <v>201</v>
      </c>
      <c r="E17" s="4" t="s">
        <v>403</v>
      </c>
      <c r="F17" s="4" t="s">
        <v>404</v>
      </c>
      <c r="G17" s="4">
        <v>15.2</v>
      </c>
      <c r="H17" s="4">
        <v>0</v>
      </c>
    </row>
    <row r="18" ht="47.25" spans="1:8">
      <c r="A18" s="7" t="s">
        <v>358</v>
      </c>
      <c r="B18" s="5" t="s">
        <v>406</v>
      </c>
      <c r="C18" s="93" t="s">
        <v>392</v>
      </c>
      <c r="D18" s="4">
        <v>201</v>
      </c>
      <c r="E18" s="4" t="s">
        <v>393</v>
      </c>
      <c r="F18" s="4" t="s">
        <v>394</v>
      </c>
      <c r="G18" s="4">
        <v>15.2</v>
      </c>
      <c r="H18" s="4">
        <v>0</v>
      </c>
    </row>
    <row r="19" ht="31.5" spans="1:8">
      <c r="A19" s="10" t="s">
        <v>251</v>
      </c>
      <c r="B19" s="5" t="s">
        <v>375</v>
      </c>
      <c r="C19" s="4" t="s">
        <v>376</v>
      </c>
      <c r="D19" s="4" t="s">
        <v>396</v>
      </c>
      <c r="E19" s="4" t="s">
        <v>377</v>
      </c>
      <c r="F19" s="4" t="s">
        <v>378</v>
      </c>
      <c r="G19" s="4">
        <v>15.2</v>
      </c>
      <c r="H19" s="4">
        <v>0</v>
      </c>
    </row>
    <row r="20" ht="31.5" spans="1:8">
      <c r="A20" s="10" t="s">
        <v>407</v>
      </c>
      <c r="B20" s="5" t="s">
        <v>391</v>
      </c>
      <c r="C20" s="4" t="s">
        <v>376</v>
      </c>
      <c r="D20" s="4" t="s">
        <v>396</v>
      </c>
      <c r="E20" s="4" t="s">
        <v>377</v>
      </c>
      <c r="F20" s="4" t="s">
        <v>378</v>
      </c>
      <c r="G20" s="4">
        <v>15.2</v>
      </c>
      <c r="H20" s="4">
        <v>0</v>
      </c>
    </row>
    <row r="21" ht="31.5" spans="1:8">
      <c r="A21" s="10" t="s">
        <v>353</v>
      </c>
      <c r="B21" s="5" t="s">
        <v>391</v>
      </c>
      <c r="C21" s="4" t="s">
        <v>376</v>
      </c>
      <c r="D21" s="4" t="s">
        <v>396</v>
      </c>
      <c r="E21" s="4" t="s">
        <v>377</v>
      </c>
      <c r="F21" s="4" t="s">
        <v>378</v>
      </c>
      <c r="G21" s="4">
        <v>15.2</v>
      </c>
      <c r="H21" s="4">
        <v>0</v>
      </c>
    </row>
    <row r="22" ht="31.5" spans="1:8">
      <c r="A22" s="10" t="s">
        <v>350</v>
      </c>
      <c r="B22" s="5" t="s">
        <v>379</v>
      </c>
      <c r="C22" s="4" t="s">
        <v>376</v>
      </c>
      <c r="D22" s="4" t="s">
        <v>396</v>
      </c>
      <c r="E22" s="4" t="s">
        <v>377</v>
      </c>
      <c r="F22" s="4" t="s">
        <v>378</v>
      </c>
      <c r="G22" s="4">
        <v>15.2</v>
      </c>
      <c r="H22" s="4">
        <v>0</v>
      </c>
    </row>
    <row r="23" ht="31.5" spans="1:8">
      <c r="A23" s="10" t="s">
        <v>256</v>
      </c>
      <c r="B23" s="5" t="s">
        <v>375</v>
      </c>
      <c r="C23" s="4" t="s">
        <v>398</v>
      </c>
      <c r="D23" s="4">
        <v>16</v>
      </c>
      <c r="E23" s="4" t="s">
        <v>399</v>
      </c>
      <c r="F23" s="4" t="s">
        <v>400</v>
      </c>
      <c r="G23" s="4">
        <v>15.2</v>
      </c>
      <c r="H23" s="4">
        <v>1</v>
      </c>
    </row>
    <row r="24" ht="31.5" spans="1:8">
      <c r="A24" s="10" t="s">
        <v>152</v>
      </c>
      <c r="B24" s="5" t="s">
        <v>375</v>
      </c>
      <c r="C24" s="4" t="s">
        <v>398</v>
      </c>
      <c r="D24" s="4">
        <v>16</v>
      </c>
      <c r="E24" s="4" t="s">
        <v>399</v>
      </c>
      <c r="F24" s="4" t="s">
        <v>400</v>
      </c>
      <c r="G24" s="4">
        <v>15.2</v>
      </c>
      <c r="H24" s="4">
        <v>1</v>
      </c>
    </row>
    <row r="25" ht="31.5" spans="1:8">
      <c r="A25" s="10" t="s">
        <v>288</v>
      </c>
      <c r="B25" s="5" t="s">
        <v>379</v>
      </c>
      <c r="C25" s="4" t="s">
        <v>398</v>
      </c>
      <c r="D25" s="4">
        <v>16</v>
      </c>
      <c r="E25" s="4" t="s">
        <v>399</v>
      </c>
      <c r="F25" s="4" t="s">
        <v>400</v>
      </c>
      <c r="G25" s="4">
        <v>15.2</v>
      </c>
      <c r="H25" s="4">
        <v>1</v>
      </c>
    </row>
    <row r="26" ht="31.5" spans="1:8">
      <c r="A26" s="6" t="s">
        <v>408</v>
      </c>
      <c r="B26" s="5" t="s">
        <v>375</v>
      </c>
      <c r="C26" s="9" t="s">
        <v>376</v>
      </c>
      <c r="D26" s="4">
        <v>252</v>
      </c>
      <c r="E26" s="4" t="s">
        <v>377</v>
      </c>
      <c r="F26" s="4" t="s">
        <v>378</v>
      </c>
      <c r="G26" s="4">
        <v>15.2</v>
      </c>
      <c r="H26" s="4">
        <v>1</v>
      </c>
    </row>
    <row r="27" ht="31.5" spans="1:8">
      <c r="A27" s="7" t="s">
        <v>408</v>
      </c>
      <c r="B27" s="5" t="s">
        <v>379</v>
      </c>
      <c r="C27" s="4" t="s">
        <v>380</v>
      </c>
      <c r="D27" s="4">
        <v>252</v>
      </c>
      <c r="E27" s="4" t="s">
        <v>381</v>
      </c>
      <c r="F27" s="4" t="s">
        <v>382</v>
      </c>
      <c r="G27" s="4">
        <v>15.2</v>
      </c>
      <c r="H27" s="4">
        <v>1</v>
      </c>
    </row>
  </sheetData>
  <autoFilter xmlns:etc="http://www.wps.cn/officeDocument/2017/etCustomData" ref="A1:R27" etc:filterBottomFollowUsedRange="0">
    <extLst/>
  </autoFilter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T105"/>
  <sheetViews>
    <sheetView workbookViewId="0">
      <selection activeCell="J4" sqref="J4"/>
    </sheetView>
  </sheetViews>
  <sheetFormatPr defaultColWidth="8.89166666666667" defaultRowHeight="13.5"/>
  <cols>
    <col min="4" max="8" width="8.89166666666667" customWidth="1"/>
    <col min="9" max="9" width="24" customWidth="1"/>
    <col min="10" max="10" width="23.775" customWidth="1"/>
    <col min="11" max="11" width="22.225" customWidth="1"/>
    <col min="12" max="13" width="8.89166666666667" customWidth="1"/>
    <col min="15" max="15" width="24.1083333333333" customWidth="1"/>
  </cols>
  <sheetData>
    <row r="1" spans="1:18">
      <c r="A1" s="4" t="s">
        <v>368</v>
      </c>
      <c r="B1" s="4" t="s">
        <v>369</v>
      </c>
      <c r="C1" s="4" t="s">
        <v>321</v>
      </c>
      <c r="D1" s="4"/>
      <c r="E1" s="4" t="s">
        <v>409</v>
      </c>
      <c r="F1" s="4" t="s">
        <v>410</v>
      </c>
      <c r="G1" s="4" t="s">
        <v>411</v>
      </c>
      <c r="H1" s="4" t="s">
        <v>412</v>
      </c>
      <c r="O1" s="4" t="s">
        <v>413</v>
      </c>
      <c r="P1" s="4" t="s">
        <v>414</v>
      </c>
      <c r="Q1" s="4" t="s">
        <v>415</v>
      </c>
      <c r="R1" s="4" t="s">
        <v>374</v>
      </c>
    </row>
    <row r="2" ht="47.25" spans="1:18">
      <c r="A2" s="5" t="s">
        <v>262</v>
      </c>
      <c r="B2" s="4">
        <v>900</v>
      </c>
      <c r="C2" s="5">
        <f>填表说明!$AW$4</f>
        <v>84</v>
      </c>
      <c r="D2" s="5" t="s">
        <v>416</v>
      </c>
      <c r="E2" s="4" t="s">
        <v>417</v>
      </c>
      <c r="F2" s="4" t="s">
        <v>418</v>
      </c>
      <c r="G2" s="4" t="s">
        <v>419</v>
      </c>
      <c r="H2" s="4" t="s">
        <v>420</v>
      </c>
      <c r="M2" s="5" t="str">
        <f t="shared" ref="M2:M25" si="0">A2&amp;C2</f>
        <v>R8852E S9000(A8A)84</v>
      </c>
      <c r="N2" s="4" t="str">
        <f t="shared" ref="N2:N11" si="1">C2&amp;E2&amp;";"&amp;C2&amp;H2</f>
        <v>84:1;84:4</v>
      </c>
      <c r="O2" s="4"/>
      <c r="P2" s="4" t="s">
        <v>421</v>
      </c>
      <c r="Q2" s="4" t="s">
        <v>422</v>
      </c>
      <c r="R2" s="4">
        <v>15.2</v>
      </c>
    </row>
    <row r="3" ht="47.25" spans="1:18">
      <c r="A3" s="5" t="s">
        <v>264</v>
      </c>
      <c r="B3" s="4">
        <v>1800</v>
      </c>
      <c r="C3" s="5">
        <f>填表说明!$AW$4</f>
        <v>84</v>
      </c>
      <c r="D3" s="5" t="s">
        <v>416</v>
      </c>
      <c r="E3" s="4" t="s">
        <v>417</v>
      </c>
      <c r="F3" s="4" t="s">
        <v>418</v>
      </c>
      <c r="G3" s="4" t="s">
        <v>419</v>
      </c>
      <c r="H3" s="4" t="s">
        <v>420</v>
      </c>
      <c r="M3" s="5" t="str">
        <f t="shared" si="0"/>
        <v>R8852E S1800(A8A)84</v>
      </c>
      <c r="N3" s="4" t="str">
        <f t="shared" si="1"/>
        <v>84:1;84:4</v>
      </c>
      <c r="O3" s="4"/>
      <c r="P3" s="4" t="s">
        <v>421</v>
      </c>
      <c r="Q3" s="4" t="s">
        <v>422</v>
      </c>
      <c r="R3" s="4">
        <v>15.2</v>
      </c>
    </row>
    <row r="4" ht="47.25" spans="1:18">
      <c r="A4" s="5" t="s">
        <v>228</v>
      </c>
      <c r="B4" s="4">
        <v>1800</v>
      </c>
      <c r="C4" s="5">
        <f>填表说明!$AW$4</f>
        <v>84</v>
      </c>
      <c r="D4" s="5" t="s">
        <v>416</v>
      </c>
      <c r="E4" s="4" t="s">
        <v>417</v>
      </c>
      <c r="F4" s="4" t="s">
        <v>418</v>
      </c>
      <c r="G4" s="4" t="s">
        <v>419</v>
      </c>
      <c r="H4" s="4" t="s">
        <v>420</v>
      </c>
      <c r="M4" s="5" t="str">
        <f t="shared" si="0"/>
        <v>R8854E S1800(A6A)84</v>
      </c>
      <c r="N4" s="4" t="str">
        <f>C4&amp;E4&amp;";"&amp;C4&amp;F4&amp;";"&amp;C4&amp;G4&amp;";"&amp;C4&amp;H4</f>
        <v>84:1;84:2;84:3;84:4</v>
      </c>
      <c r="O4" s="4"/>
      <c r="P4" s="4" t="s">
        <v>385</v>
      </c>
      <c r="Q4" s="4" t="s">
        <v>423</v>
      </c>
      <c r="R4" s="4">
        <v>15.2</v>
      </c>
    </row>
    <row r="5" ht="47.25" spans="1:18">
      <c r="A5" s="5" t="s">
        <v>347</v>
      </c>
      <c r="B5" s="4">
        <v>1800</v>
      </c>
      <c r="C5" s="5">
        <f>填表说明!$AW$4</f>
        <v>84</v>
      </c>
      <c r="D5" s="5" t="s">
        <v>416</v>
      </c>
      <c r="E5" s="4" t="s">
        <v>417</v>
      </c>
      <c r="F5" s="4" t="s">
        <v>418</v>
      </c>
      <c r="G5" s="4" t="s">
        <v>419</v>
      </c>
      <c r="H5" s="4" t="s">
        <v>420</v>
      </c>
      <c r="M5" s="5" t="str">
        <f t="shared" si="0"/>
        <v>R8862A S1800(B6A)84</v>
      </c>
      <c r="N5" s="4" t="str">
        <f t="shared" si="1"/>
        <v>84:1;84:4</v>
      </c>
      <c r="O5" s="4"/>
      <c r="P5" s="4" t="s">
        <v>421</v>
      </c>
      <c r="Q5" s="4" t="s">
        <v>422</v>
      </c>
      <c r="R5" s="4">
        <v>15.2</v>
      </c>
    </row>
    <row r="6" ht="47.25" spans="1:18">
      <c r="A6" s="5" t="s">
        <v>260</v>
      </c>
      <c r="B6" s="4">
        <v>1800</v>
      </c>
      <c r="C6" s="5">
        <f>填表说明!$AW$4</f>
        <v>84</v>
      </c>
      <c r="D6" s="5" t="s">
        <v>416</v>
      </c>
      <c r="E6" s="4" t="s">
        <v>417</v>
      </c>
      <c r="F6" s="4" t="s">
        <v>418</v>
      </c>
      <c r="G6" s="4" t="s">
        <v>419</v>
      </c>
      <c r="H6" s="4" t="s">
        <v>420</v>
      </c>
      <c r="M6" s="5" t="str">
        <f t="shared" si="0"/>
        <v>R8854 S1800(A4A)84</v>
      </c>
      <c r="N6" s="4" t="str">
        <f>C6&amp;E6&amp;";"&amp;C6&amp;F6&amp;";"&amp;C6&amp;G6&amp;";"&amp;C6&amp;H6</f>
        <v>84:1;84:2;84:3;84:4</v>
      </c>
      <c r="O6" s="4"/>
      <c r="P6" s="4" t="s">
        <v>385</v>
      </c>
      <c r="Q6" s="4" t="s">
        <v>423</v>
      </c>
      <c r="R6" s="4">
        <v>15.2</v>
      </c>
    </row>
    <row r="7" ht="47.25" spans="1:18">
      <c r="A7" s="5" t="s">
        <v>291</v>
      </c>
      <c r="B7" s="4">
        <v>1800</v>
      </c>
      <c r="C7" s="5">
        <f>填表说明!$AW$4</f>
        <v>84</v>
      </c>
      <c r="D7" s="5" t="s">
        <v>416</v>
      </c>
      <c r="E7" s="4" t="s">
        <v>417</v>
      </c>
      <c r="F7" s="4" t="s">
        <v>418</v>
      </c>
      <c r="G7" s="4" t="s">
        <v>419</v>
      </c>
      <c r="H7" s="4" t="s">
        <v>420</v>
      </c>
      <c r="M7" s="5" t="str">
        <f t="shared" si="0"/>
        <v>R8862A S1800(B6B)84</v>
      </c>
      <c r="N7" s="4" t="str">
        <f t="shared" si="1"/>
        <v>84:1;84:4</v>
      </c>
      <c r="O7" s="4"/>
      <c r="P7" s="4" t="s">
        <v>421</v>
      </c>
      <c r="Q7" s="4" t="s">
        <v>422</v>
      </c>
      <c r="R7" s="4">
        <v>15.2</v>
      </c>
    </row>
    <row r="8" ht="47.25" spans="1:18">
      <c r="A8" s="5" t="s">
        <v>424</v>
      </c>
      <c r="B8" s="4">
        <v>900</v>
      </c>
      <c r="C8" s="5">
        <f>填表说明!$AW$4</f>
        <v>84</v>
      </c>
      <c r="D8" s="5" t="s">
        <v>416</v>
      </c>
      <c r="E8" s="4" t="s">
        <v>417</v>
      </c>
      <c r="F8" s="4" t="s">
        <v>418</v>
      </c>
      <c r="G8" s="4" t="s">
        <v>419</v>
      </c>
      <c r="H8" s="4" t="s">
        <v>420</v>
      </c>
      <c r="M8" s="5" t="str">
        <f t="shared" si="0"/>
        <v>R8862A S9000(A6A)84</v>
      </c>
      <c r="N8" s="4" t="str">
        <f t="shared" si="1"/>
        <v>84:1;84:4</v>
      </c>
      <c r="O8" s="4"/>
      <c r="P8" s="4" t="s">
        <v>421</v>
      </c>
      <c r="Q8" s="4" t="s">
        <v>422</v>
      </c>
      <c r="R8" s="4">
        <v>15.2</v>
      </c>
    </row>
    <row r="9" ht="47.25" spans="1:18">
      <c r="A9" s="5" t="s">
        <v>367</v>
      </c>
      <c r="B9" s="4">
        <v>1800</v>
      </c>
      <c r="C9" s="5">
        <f>填表说明!$AW$4</f>
        <v>84</v>
      </c>
      <c r="D9" s="5" t="s">
        <v>416</v>
      </c>
      <c r="E9" s="4" t="s">
        <v>417</v>
      </c>
      <c r="F9" s="4" t="s">
        <v>418</v>
      </c>
      <c r="G9" s="4" t="s">
        <v>419</v>
      </c>
      <c r="H9" s="4" t="s">
        <v>420</v>
      </c>
      <c r="M9" s="5" t="str">
        <f t="shared" si="0"/>
        <v>R8882 S1800(B6B)84</v>
      </c>
      <c r="N9" s="4" t="str">
        <f t="shared" si="1"/>
        <v>84:1;84:4</v>
      </c>
      <c r="O9" s="4"/>
      <c r="P9" s="4" t="s">
        <v>421</v>
      </c>
      <c r="Q9" s="4" t="s">
        <v>422</v>
      </c>
      <c r="R9" s="4">
        <v>15.2</v>
      </c>
    </row>
    <row r="10" ht="47.25" hidden="1" spans="1:18">
      <c r="A10" s="5" t="s">
        <v>262</v>
      </c>
      <c r="B10" s="4">
        <v>900</v>
      </c>
      <c r="C10" s="5">
        <f>填表说明!$AW$5</f>
        <v>85</v>
      </c>
      <c r="D10" s="5" t="s">
        <v>416</v>
      </c>
      <c r="E10" s="4" t="s">
        <v>417</v>
      </c>
      <c r="F10" s="4" t="s">
        <v>418</v>
      </c>
      <c r="G10" s="4" t="s">
        <v>419</v>
      </c>
      <c r="H10" s="4" t="s">
        <v>420</v>
      </c>
      <c r="M10" s="5" t="str">
        <f t="shared" si="0"/>
        <v>R8852E S9000(A8A)85</v>
      </c>
      <c r="N10" s="4" t="str">
        <f t="shared" si="1"/>
        <v>85:1;85:4</v>
      </c>
      <c r="O10" s="4"/>
      <c r="P10" s="4" t="s">
        <v>421</v>
      </c>
      <c r="Q10" s="4" t="s">
        <v>422</v>
      </c>
      <c r="R10" s="4">
        <v>15.2</v>
      </c>
    </row>
    <row r="11" ht="47.25" hidden="1" spans="1:18">
      <c r="A11" s="5" t="s">
        <v>264</v>
      </c>
      <c r="B11" s="4">
        <v>1800</v>
      </c>
      <c r="C11" s="5">
        <f>填表说明!$AW$5</f>
        <v>85</v>
      </c>
      <c r="D11" s="5" t="s">
        <v>416</v>
      </c>
      <c r="E11" s="4" t="s">
        <v>417</v>
      </c>
      <c r="F11" s="4" t="s">
        <v>418</v>
      </c>
      <c r="G11" s="4" t="s">
        <v>419</v>
      </c>
      <c r="H11" s="4" t="s">
        <v>420</v>
      </c>
      <c r="M11" s="5" t="str">
        <f t="shared" si="0"/>
        <v>R8852E S1800(A8A)85</v>
      </c>
      <c r="N11" s="4" t="str">
        <f t="shared" si="1"/>
        <v>85:1;85:4</v>
      </c>
      <c r="O11" s="4"/>
      <c r="P11" s="4" t="s">
        <v>421</v>
      </c>
      <c r="Q11" s="4" t="s">
        <v>422</v>
      </c>
      <c r="R11" s="4">
        <v>15.2</v>
      </c>
    </row>
    <row r="12" ht="47.25" hidden="1" spans="1:18">
      <c r="A12" s="5" t="s">
        <v>228</v>
      </c>
      <c r="B12" s="4">
        <v>1800</v>
      </c>
      <c r="C12" s="5">
        <f>填表说明!$AW$5</f>
        <v>85</v>
      </c>
      <c r="D12" s="5" t="s">
        <v>416</v>
      </c>
      <c r="E12" s="4" t="s">
        <v>417</v>
      </c>
      <c r="F12" s="4" t="s">
        <v>418</v>
      </c>
      <c r="G12" s="4" t="s">
        <v>419</v>
      </c>
      <c r="H12" s="4" t="s">
        <v>420</v>
      </c>
      <c r="M12" s="5" t="str">
        <f t="shared" si="0"/>
        <v>R8854E S1800(A6A)85</v>
      </c>
      <c r="N12" s="4" t="str">
        <f>C12&amp;E12&amp;";"&amp;C12&amp;F12&amp;";"&amp;C12&amp;G12&amp;";"&amp;C12&amp;H12</f>
        <v>85:1;85:2;85:3;85:4</v>
      </c>
      <c r="O12" s="4"/>
      <c r="P12" s="4" t="s">
        <v>385</v>
      </c>
      <c r="Q12" s="4" t="s">
        <v>423</v>
      </c>
      <c r="R12" s="4">
        <v>15.2</v>
      </c>
    </row>
    <row r="13" ht="47.25" hidden="1" spans="1:18">
      <c r="A13" s="5" t="s">
        <v>347</v>
      </c>
      <c r="B13" s="4">
        <v>1800</v>
      </c>
      <c r="C13" s="5">
        <f>填表说明!$AW$5</f>
        <v>85</v>
      </c>
      <c r="D13" s="5" t="s">
        <v>416</v>
      </c>
      <c r="E13" s="4" t="s">
        <v>417</v>
      </c>
      <c r="F13" s="4" t="s">
        <v>418</v>
      </c>
      <c r="G13" s="4" t="s">
        <v>419</v>
      </c>
      <c r="H13" s="4" t="s">
        <v>420</v>
      </c>
      <c r="M13" s="5" t="str">
        <f t="shared" si="0"/>
        <v>R8862A S1800(B6A)85</v>
      </c>
      <c r="N13" s="4" t="str">
        <f t="shared" ref="N13:N19" si="2">C13&amp;E13&amp;";"&amp;C13&amp;H13</f>
        <v>85:1;85:4</v>
      </c>
      <c r="O13" s="4"/>
      <c r="P13" s="4" t="s">
        <v>421</v>
      </c>
      <c r="Q13" s="4" t="s">
        <v>422</v>
      </c>
      <c r="R13" s="4">
        <v>15.2</v>
      </c>
    </row>
    <row r="14" ht="47.25" hidden="1" spans="1:18">
      <c r="A14" s="5" t="s">
        <v>260</v>
      </c>
      <c r="B14" s="4">
        <v>1800</v>
      </c>
      <c r="C14" s="5">
        <f>填表说明!$AW$5</f>
        <v>85</v>
      </c>
      <c r="D14" s="5" t="s">
        <v>416</v>
      </c>
      <c r="E14" s="4" t="s">
        <v>417</v>
      </c>
      <c r="F14" s="4" t="s">
        <v>418</v>
      </c>
      <c r="G14" s="4" t="s">
        <v>419</v>
      </c>
      <c r="H14" s="4" t="s">
        <v>420</v>
      </c>
      <c r="M14" s="5" t="str">
        <f t="shared" si="0"/>
        <v>R8854 S1800(A4A)85</v>
      </c>
      <c r="N14" s="4" t="str">
        <f>C14&amp;E14&amp;";"&amp;C14&amp;F14&amp;";"&amp;C14&amp;G14&amp;";"&amp;C14&amp;H14</f>
        <v>85:1;85:2;85:3;85:4</v>
      </c>
      <c r="O14" s="4"/>
      <c r="P14" s="4" t="s">
        <v>385</v>
      </c>
      <c r="Q14" s="4" t="s">
        <v>423</v>
      </c>
      <c r="R14" s="4">
        <v>15.2</v>
      </c>
    </row>
    <row r="15" ht="47.25" hidden="1" spans="1:18">
      <c r="A15" s="5" t="s">
        <v>291</v>
      </c>
      <c r="B15" s="4">
        <v>1800</v>
      </c>
      <c r="C15" s="5">
        <f>填表说明!$AW$5</f>
        <v>85</v>
      </c>
      <c r="D15" s="5" t="s">
        <v>416</v>
      </c>
      <c r="E15" s="4" t="s">
        <v>417</v>
      </c>
      <c r="F15" s="4" t="s">
        <v>418</v>
      </c>
      <c r="G15" s="4" t="s">
        <v>419</v>
      </c>
      <c r="H15" s="4" t="s">
        <v>420</v>
      </c>
      <c r="M15" s="5" t="str">
        <f t="shared" si="0"/>
        <v>R8862A S1800(B6B)85</v>
      </c>
      <c r="N15" s="4" t="str">
        <f t="shared" si="2"/>
        <v>85:1;85:4</v>
      </c>
      <c r="O15" s="4"/>
      <c r="P15" s="4" t="s">
        <v>421</v>
      </c>
      <c r="Q15" s="4" t="s">
        <v>422</v>
      </c>
      <c r="R15" s="4">
        <v>15.2</v>
      </c>
    </row>
    <row r="16" ht="47.25" hidden="1" spans="1:18">
      <c r="A16" s="5" t="s">
        <v>424</v>
      </c>
      <c r="B16" s="4">
        <v>900</v>
      </c>
      <c r="C16" s="5">
        <f>填表说明!$AW$5</f>
        <v>85</v>
      </c>
      <c r="D16" s="5" t="s">
        <v>416</v>
      </c>
      <c r="E16" s="4" t="s">
        <v>417</v>
      </c>
      <c r="F16" s="4" t="s">
        <v>418</v>
      </c>
      <c r="G16" s="4" t="s">
        <v>419</v>
      </c>
      <c r="H16" s="4" t="s">
        <v>420</v>
      </c>
      <c r="M16" s="5" t="str">
        <f t="shared" si="0"/>
        <v>R8862A S9000(A6A)85</v>
      </c>
      <c r="N16" s="4" t="str">
        <f t="shared" si="2"/>
        <v>85:1;85:4</v>
      </c>
      <c r="O16" s="4"/>
      <c r="P16" s="4" t="s">
        <v>421</v>
      </c>
      <c r="Q16" s="4" t="s">
        <v>422</v>
      </c>
      <c r="R16" s="4">
        <v>15.2</v>
      </c>
    </row>
    <row r="17" ht="47.25" hidden="1" spans="1:20">
      <c r="A17" s="5" t="s">
        <v>367</v>
      </c>
      <c r="B17" s="4">
        <v>1800</v>
      </c>
      <c r="C17" s="5">
        <f>填表说明!$AW$5</f>
        <v>85</v>
      </c>
      <c r="D17" s="5" t="s">
        <v>416</v>
      </c>
      <c r="E17" s="4" t="s">
        <v>417</v>
      </c>
      <c r="F17" s="4" t="s">
        <v>418</v>
      </c>
      <c r="G17" s="4" t="s">
        <v>419</v>
      </c>
      <c r="H17" s="4" t="s">
        <v>420</v>
      </c>
      <c r="M17" s="5" t="str">
        <f t="shared" si="0"/>
        <v>R8882 S1800(B6B)85</v>
      </c>
      <c r="N17" s="4" t="str">
        <f t="shared" si="2"/>
        <v>85:1;85:4</v>
      </c>
      <c r="O17" s="4"/>
      <c r="P17" s="4" t="s">
        <v>421</v>
      </c>
      <c r="Q17" s="4" t="s">
        <v>422</v>
      </c>
      <c r="R17" s="4">
        <v>15.2</v>
      </c>
    </row>
    <row r="18" ht="47.25" hidden="1" spans="1:20">
      <c r="A18" s="5" t="s">
        <v>262</v>
      </c>
      <c r="B18" s="4">
        <v>900</v>
      </c>
      <c r="C18" s="5">
        <f>填表说明!$AW$6</f>
        <v>86</v>
      </c>
      <c r="D18" s="5" t="s">
        <v>416</v>
      </c>
      <c r="E18" s="4" t="s">
        <v>417</v>
      </c>
      <c r="F18" s="4" t="s">
        <v>418</v>
      </c>
      <c r="G18" s="4" t="s">
        <v>419</v>
      </c>
      <c r="H18" s="4" t="s">
        <v>420</v>
      </c>
      <c r="M18" s="5" t="str">
        <f t="shared" si="0"/>
        <v>R8852E S9000(A8A)86</v>
      </c>
      <c r="N18" s="4" t="str">
        <f t="shared" si="2"/>
        <v>86:1;86:4</v>
      </c>
      <c r="O18" s="4"/>
      <c r="P18" s="4" t="s">
        <v>421</v>
      </c>
      <c r="Q18" s="4" t="s">
        <v>422</v>
      </c>
      <c r="R18" s="4">
        <v>15.2</v>
      </c>
    </row>
    <row r="19" ht="47.25" hidden="1" spans="1:20">
      <c r="A19" s="5" t="s">
        <v>264</v>
      </c>
      <c r="B19" s="4">
        <v>1800</v>
      </c>
      <c r="C19" s="5">
        <f>填表说明!$AW$6</f>
        <v>86</v>
      </c>
      <c r="D19" s="5" t="s">
        <v>416</v>
      </c>
      <c r="E19" s="4" t="s">
        <v>417</v>
      </c>
      <c r="F19" s="4" t="s">
        <v>418</v>
      </c>
      <c r="G19" s="4" t="s">
        <v>419</v>
      </c>
      <c r="H19" s="4" t="s">
        <v>420</v>
      </c>
      <c r="M19" s="5" t="str">
        <f t="shared" si="0"/>
        <v>R8852E S1800(A8A)86</v>
      </c>
      <c r="N19" s="4" t="str">
        <f t="shared" si="2"/>
        <v>86:1;86:4</v>
      </c>
      <c r="O19" s="4"/>
      <c r="P19" s="4" t="s">
        <v>421</v>
      </c>
      <c r="Q19" s="4" t="s">
        <v>422</v>
      </c>
      <c r="R19" s="4">
        <v>15.2</v>
      </c>
    </row>
    <row r="20" ht="47.25" hidden="1" spans="1:20">
      <c r="A20" s="5" t="s">
        <v>228</v>
      </c>
      <c r="B20" s="4">
        <v>1800</v>
      </c>
      <c r="C20" s="5">
        <f>填表说明!$AW$6</f>
        <v>86</v>
      </c>
      <c r="D20" s="5" t="s">
        <v>416</v>
      </c>
      <c r="E20" s="4" t="s">
        <v>417</v>
      </c>
      <c r="F20" s="4" t="s">
        <v>418</v>
      </c>
      <c r="G20" s="4" t="s">
        <v>419</v>
      </c>
      <c r="H20" s="4" t="s">
        <v>420</v>
      </c>
      <c r="M20" s="5" t="str">
        <f t="shared" si="0"/>
        <v>R8854E S1800(A6A)86</v>
      </c>
      <c r="N20" s="4" t="str">
        <f>C20&amp;E20&amp;";"&amp;C20&amp;F20&amp;";"&amp;C20&amp;G20&amp;";"&amp;C20&amp;H20</f>
        <v>86:1;86:2;86:3;86:4</v>
      </c>
      <c r="O20" s="4"/>
      <c r="P20" s="4" t="s">
        <v>385</v>
      </c>
      <c r="Q20" s="4" t="s">
        <v>423</v>
      </c>
      <c r="R20" s="4">
        <v>15.2</v>
      </c>
    </row>
    <row r="21" ht="47.25" hidden="1" spans="1:20">
      <c r="A21" s="5" t="s">
        <v>347</v>
      </c>
      <c r="B21" s="4">
        <v>1800</v>
      </c>
      <c r="C21" s="5">
        <f>填表说明!$AW$6</f>
        <v>86</v>
      </c>
      <c r="D21" s="5" t="s">
        <v>416</v>
      </c>
      <c r="E21" s="4" t="s">
        <v>417</v>
      </c>
      <c r="F21" s="4" t="s">
        <v>418</v>
      </c>
      <c r="G21" s="4" t="s">
        <v>419</v>
      </c>
      <c r="H21" s="4" t="s">
        <v>420</v>
      </c>
      <c r="M21" s="5" t="str">
        <f t="shared" si="0"/>
        <v>R8862A S1800(B6A)86</v>
      </c>
      <c r="N21" s="4" t="str">
        <f t="shared" ref="N21:N25" si="3">C21&amp;E21&amp;";"&amp;C21&amp;H21</f>
        <v>86:1;86:4</v>
      </c>
      <c r="O21" s="4"/>
      <c r="P21" s="4" t="s">
        <v>421</v>
      </c>
      <c r="Q21" s="4" t="s">
        <v>422</v>
      </c>
      <c r="R21" s="4">
        <v>15.2</v>
      </c>
    </row>
    <row r="22" ht="47.25" hidden="1" spans="1:20">
      <c r="A22" s="5" t="s">
        <v>260</v>
      </c>
      <c r="B22" s="4">
        <v>1800</v>
      </c>
      <c r="C22" s="5">
        <f>填表说明!$AW$6</f>
        <v>86</v>
      </c>
      <c r="D22" s="5" t="s">
        <v>416</v>
      </c>
      <c r="E22" s="4" t="s">
        <v>417</v>
      </c>
      <c r="F22" s="4" t="s">
        <v>418</v>
      </c>
      <c r="G22" s="4" t="s">
        <v>419</v>
      </c>
      <c r="H22" s="4" t="s">
        <v>420</v>
      </c>
      <c r="M22" s="5" t="str">
        <f t="shared" si="0"/>
        <v>R8854 S1800(A4A)86</v>
      </c>
      <c r="N22" s="4" t="str">
        <f>C22&amp;E22&amp;";"&amp;C22&amp;F22&amp;";"&amp;C22&amp;G22&amp;";"&amp;C22&amp;H22</f>
        <v>86:1;86:2;86:3;86:4</v>
      </c>
      <c r="O22" s="4"/>
      <c r="P22" s="4" t="s">
        <v>385</v>
      </c>
      <c r="Q22" s="4" t="s">
        <v>423</v>
      </c>
      <c r="R22" s="4">
        <v>15.2</v>
      </c>
    </row>
    <row r="23" ht="47.25" hidden="1" spans="1:20">
      <c r="A23" s="5" t="s">
        <v>291</v>
      </c>
      <c r="B23" s="4">
        <v>1800</v>
      </c>
      <c r="C23" s="5">
        <f>填表说明!$AW$6</f>
        <v>86</v>
      </c>
      <c r="D23" s="5" t="s">
        <v>416</v>
      </c>
      <c r="E23" s="4" t="s">
        <v>417</v>
      </c>
      <c r="F23" s="4" t="s">
        <v>418</v>
      </c>
      <c r="G23" s="4" t="s">
        <v>419</v>
      </c>
      <c r="H23" s="4" t="s">
        <v>420</v>
      </c>
      <c r="M23" s="5" t="str">
        <f t="shared" si="0"/>
        <v>R8862A S1800(B6B)86</v>
      </c>
      <c r="N23" s="4" t="str">
        <f t="shared" si="3"/>
        <v>86:1;86:4</v>
      </c>
      <c r="O23" s="4"/>
      <c r="P23" s="4" t="s">
        <v>421</v>
      </c>
      <c r="Q23" s="4" t="s">
        <v>422</v>
      </c>
      <c r="R23" s="4">
        <v>15.2</v>
      </c>
    </row>
    <row r="24" ht="47.25" hidden="1" spans="1:20">
      <c r="A24" s="5" t="s">
        <v>424</v>
      </c>
      <c r="B24" s="4">
        <v>900</v>
      </c>
      <c r="C24" s="5">
        <f>填表说明!$AW$6</f>
        <v>86</v>
      </c>
      <c r="D24" s="5" t="s">
        <v>416</v>
      </c>
      <c r="E24" s="4" t="s">
        <v>417</v>
      </c>
      <c r="F24" s="4" t="s">
        <v>418</v>
      </c>
      <c r="G24" s="4" t="s">
        <v>419</v>
      </c>
      <c r="H24" s="4" t="s">
        <v>420</v>
      </c>
      <c r="M24" s="5" t="str">
        <f t="shared" si="0"/>
        <v>R8862A S9000(A6A)86</v>
      </c>
      <c r="N24" s="4" t="str">
        <f t="shared" si="3"/>
        <v>86:1;86:4</v>
      </c>
      <c r="O24" s="4"/>
      <c r="P24" s="4" t="s">
        <v>421</v>
      </c>
      <c r="Q24" s="4" t="s">
        <v>422</v>
      </c>
      <c r="R24" s="4">
        <v>15.2</v>
      </c>
    </row>
    <row r="25" ht="47.25" hidden="1" spans="1:20">
      <c r="A25" s="5" t="s">
        <v>367</v>
      </c>
      <c r="B25" s="4">
        <v>1800</v>
      </c>
      <c r="C25" s="5">
        <f>填表说明!$AW$6</f>
        <v>86</v>
      </c>
      <c r="D25" s="5" t="s">
        <v>416</v>
      </c>
      <c r="E25" s="4" t="s">
        <v>417</v>
      </c>
      <c r="F25" s="4" t="s">
        <v>418</v>
      </c>
      <c r="G25" s="4" t="s">
        <v>419</v>
      </c>
      <c r="H25" s="4" t="s">
        <v>420</v>
      </c>
      <c r="M25" s="5" t="str">
        <f t="shared" si="0"/>
        <v>R8882 S1800(B6B)86</v>
      </c>
      <c r="N25" s="4" t="str">
        <f t="shared" si="3"/>
        <v>86:1;86:4</v>
      </c>
      <c r="O25" s="4"/>
      <c r="P25" s="4" t="s">
        <v>421</v>
      </c>
      <c r="Q25" s="4" t="s">
        <v>422</v>
      </c>
      <c r="R25" s="4">
        <v>15.2</v>
      </c>
    </row>
    <row r="26" ht="15.75" spans="1:20">
      <c r="A26" s="5" t="s">
        <v>425</v>
      </c>
      <c r="B26" s="4"/>
      <c r="C26" s="5"/>
      <c r="D26" s="5"/>
      <c r="E26" s="4"/>
      <c r="F26" s="4"/>
      <c r="G26" s="4"/>
      <c r="H26" s="4"/>
      <c r="M26" s="5"/>
      <c r="N26" s="4"/>
      <c r="O26" s="4"/>
      <c r="P26" s="4"/>
      <c r="Q26" s="4"/>
      <c r="R26" s="4"/>
    </row>
    <row r="27" spans="1:20">
      <c r="A27" s="4" t="s">
        <v>368</v>
      </c>
      <c r="B27" s="4" t="s">
        <v>369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 t="s">
        <v>370</v>
      </c>
      <c r="O27" s="4" t="s">
        <v>371</v>
      </c>
      <c r="P27" s="4" t="s">
        <v>372</v>
      </c>
      <c r="Q27" s="4" t="s">
        <v>373</v>
      </c>
      <c r="R27" s="4" t="s">
        <v>374</v>
      </c>
      <c r="S27" s="4" t="s">
        <v>109</v>
      </c>
      <c r="T27" t="s">
        <v>82</v>
      </c>
    </row>
    <row r="28" ht="47.25" spans="1:20">
      <c r="A28" s="6" t="s">
        <v>363</v>
      </c>
      <c r="B28" s="5" t="s">
        <v>375</v>
      </c>
      <c r="C28" s="5">
        <f>填表说明!$AW$4</f>
        <v>84</v>
      </c>
      <c r="D28" s="5" t="s">
        <v>416</v>
      </c>
      <c r="E28" s="5" t="s">
        <v>417</v>
      </c>
      <c r="F28" s="5" t="s">
        <v>418</v>
      </c>
      <c r="G28" s="5"/>
      <c r="H28" s="5"/>
      <c r="I28" s="5"/>
      <c r="J28" s="5"/>
      <c r="K28" s="5"/>
      <c r="L28" s="5"/>
      <c r="M28" s="5" t="str">
        <f t="shared" ref="M28:M91" si="4">A28&amp;C28</f>
        <v>A8712 M19202684</v>
      </c>
      <c r="N28" s="4" t="str">
        <f t="shared" ref="N28:N34" si="5">C28&amp;E28&amp;D28&amp;C28&amp;F28</f>
        <v>84:1&amp;84:2</v>
      </c>
      <c r="O28" s="4">
        <v>202</v>
      </c>
      <c r="P28" s="4" t="s">
        <v>377</v>
      </c>
      <c r="Q28" s="4" t="s">
        <v>378</v>
      </c>
      <c r="R28" s="4">
        <v>12.2</v>
      </c>
      <c r="S28" s="4">
        <v>0</v>
      </c>
      <c r="T28">
        <v>202</v>
      </c>
    </row>
    <row r="29" ht="47.25" spans="1:20">
      <c r="A29" s="7" t="s">
        <v>363</v>
      </c>
      <c r="B29" s="5" t="s">
        <v>379</v>
      </c>
      <c r="C29" s="5">
        <f>填表说明!$AW$4</f>
        <v>84</v>
      </c>
      <c r="D29" s="5" t="s">
        <v>416</v>
      </c>
      <c r="E29" s="5" t="s">
        <v>419</v>
      </c>
      <c r="F29" s="5" t="s">
        <v>420</v>
      </c>
      <c r="G29" s="5"/>
      <c r="H29" s="5"/>
      <c r="I29" s="5"/>
      <c r="J29" s="5"/>
      <c r="K29" s="5"/>
      <c r="L29" s="5"/>
      <c r="M29" s="5" t="str">
        <f t="shared" si="4"/>
        <v>A8712 M19202684</v>
      </c>
      <c r="N29" s="4" t="str">
        <f t="shared" si="5"/>
        <v>84:3&amp;84:4</v>
      </c>
      <c r="O29" s="4">
        <v>202</v>
      </c>
      <c r="P29" s="4" t="s">
        <v>381</v>
      </c>
      <c r="Q29" s="4" t="s">
        <v>382</v>
      </c>
      <c r="R29" s="4">
        <v>12.2</v>
      </c>
      <c r="S29" s="4">
        <v>0</v>
      </c>
      <c r="T29">
        <v>202</v>
      </c>
    </row>
    <row r="30" ht="47.25" spans="1:20">
      <c r="A30" s="6" t="s">
        <v>383</v>
      </c>
      <c r="B30" s="8" t="s">
        <v>375</v>
      </c>
      <c r="C30" s="5">
        <f>填表说明!$AW$4</f>
        <v>84</v>
      </c>
      <c r="D30" s="5" t="s">
        <v>416</v>
      </c>
      <c r="E30" s="8" t="s">
        <v>417</v>
      </c>
      <c r="F30" s="8" t="s">
        <v>418</v>
      </c>
      <c r="G30" s="8" t="s">
        <v>419</v>
      </c>
      <c r="H30" s="8" t="s">
        <v>420</v>
      </c>
      <c r="I30" s="8"/>
      <c r="J30" s="8"/>
      <c r="K30" s="8"/>
      <c r="L30" s="8"/>
      <c r="M30" s="5" t="str">
        <f t="shared" si="4"/>
        <v>A8724 M19202684</v>
      </c>
      <c r="N30" s="9" t="str">
        <f>C30&amp;E30&amp;D30&amp;C30&amp;F30&amp;D30&amp;C30&amp;G30&amp;D30&amp;C30&amp;H30</f>
        <v>84:1&amp;84:2&amp;84:3&amp;84:4</v>
      </c>
      <c r="O30" s="4">
        <v>351</v>
      </c>
      <c r="P30" s="4" t="s">
        <v>385</v>
      </c>
      <c r="Q30" s="4" t="s">
        <v>386</v>
      </c>
      <c r="R30" s="4">
        <v>12.2</v>
      </c>
      <c r="S30" s="4">
        <v>1</v>
      </c>
      <c r="T30">
        <v>202</v>
      </c>
    </row>
    <row r="31" ht="47.25" spans="1:20">
      <c r="A31" s="7" t="s">
        <v>383</v>
      </c>
      <c r="B31" s="8" t="s">
        <v>387</v>
      </c>
      <c r="C31" s="5">
        <f>填表说明!$AW$4</f>
        <v>84</v>
      </c>
      <c r="D31" s="5" t="s">
        <v>416</v>
      </c>
      <c r="E31" s="8" t="s">
        <v>426</v>
      </c>
      <c r="F31" s="8" t="s">
        <v>427</v>
      </c>
      <c r="G31" s="8" t="s">
        <v>428</v>
      </c>
      <c r="H31" s="8" t="s">
        <v>429</v>
      </c>
      <c r="I31" s="8"/>
      <c r="J31" s="8"/>
      <c r="K31" s="8"/>
      <c r="L31" s="8"/>
      <c r="M31" s="5" t="str">
        <f t="shared" si="4"/>
        <v>A8724 M19202684</v>
      </c>
      <c r="N31" s="9" t="str">
        <f>C31&amp;E31&amp;D31&amp;C31&amp;F31&amp;D31&amp;C31&amp;G31&amp;D31&amp;C31&amp;H31</f>
        <v>84:5&amp;84:6&amp;84:7&amp;84:8</v>
      </c>
      <c r="O31" s="4">
        <v>351</v>
      </c>
      <c r="P31" s="4" t="s">
        <v>389</v>
      </c>
      <c r="Q31" s="4" t="s">
        <v>390</v>
      </c>
      <c r="R31" s="4">
        <v>12.2</v>
      </c>
      <c r="S31" s="4">
        <v>1</v>
      </c>
      <c r="T31">
        <v>202</v>
      </c>
    </row>
    <row r="32" ht="31.5" spans="1:20">
      <c r="A32" s="10" t="s">
        <v>352</v>
      </c>
      <c r="B32" s="5" t="s">
        <v>391</v>
      </c>
      <c r="C32" s="5">
        <f>填表说明!$AW$4</f>
        <v>84</v>
      </c>
      <c r="D32" s="5" t="s">
        <v>416</v>
      </c>
      <c r="E32" s="5" t="s">
        <v>418</v>
      </c>
      <c r="F32" s="5"/>
      <c r="G32" s="5"/>
      <c r="H32" s="5"/>
      <c r="I32" s="5"/>
      <c r="J32" s="5"/>
      <c r="K32" s="5"/>
      <c r="L32" s="5"/>
      <c r="M32" s="5" t="str">
        <f t="shared" si="4"/>
        <v>R8502 S230084</v>
      </c>
      <c r="N32" s="9" t="str">
        <f>C32&amp;E32</f>
        <v>84:2</v>
      </c>
      <c r="O32" s="4">
        <v>201</v>
      </c>
      <c r="P32" s="4" t="s">
        <v>393</v>
      </c>
      <c r="Q32" s="4" t="s">
        <v>394</v>
      </c>
      <c r="R32" s="4">
        <v>12.2</v>
      </c>
      <c r="S32" s="4">
        <v>0</v>
      </c>
      <c r="T32">
        <v>202</v>
      </c>
    </row>
    <row r="33" ht="31.5" spans="1:20">
      <c r="A33" s="10" t="s">
        <v>395</v>
      </c>
      <c r="B33" s="5" t="s">
        <v>379</v>
      </c>
      <c r="C33" s="5">
        <f>填表说明!$AW$4</f>
        <v>84</v>
      </c>
      <c r="D33" s="5" t="s">
        <v>416</v>
      </c>
      <c r="E33" s="5" t="s">
        <v>417</v>
      </c>
      <c r="F33" s="5" t="s">
        <v>418</v>
      </c>
      <c r="G33" s="5"/>
      <c r="H33" s="5"/>
      <c r="I33" s="5"/>
      <c r="J33" s="5"/>
      <c r="K33" s="5"/>
      <c r="L33" s="5"/>
      <c r="M33" s="5" t="str">
        <f t="shared" si="4"/>
        <v>R8502 S260084</v>
      </c>
      <c r="N33" s="4" t="str">
        <f t="shared" si="5"/>
        <v>84:1&amp;84:2</v>
      </c>
      <c r="O33" s="4" t="s">
        <v>396</v>
      </c>
      <c r="P33" s="4" t="s">
        <v>377</v>
      </c>
      <c r="Q33" s="4" t="s">
        <v>378</v>
      </c>
      <c r="R33" s="4">
        <v>12.2</v>
      </c>
      <c r="S33" s="4">
        <v>0</v>
      </c>
      <c r="T33">
        <v>202</v>
      </c>
    </row>
    <row r="34" ht="31.5" spans="1:20">
      <c r="A34" s="10" t="s">
        <v>397</v>
      </c>
      <c r="B34" s="5" t="s">
        <v>379</v>
      </c>
      <c r="C34" s="5">
        <f>填表说明!$AW$4</f>
        <v>84</v>
      </c>
      <c r="D34" s="5" t="s">
        <v>416</v>
      </c>
      <c r="E34" s="5" t="s">
        <v>417</v>
      </c>
      <c r="F34" s="5" t="s">
        <v>418</v>
      </c>
      <c r="G34" s="5"/>
      <c r="H34" s="5"/>
      <c r="I34" s="5"/>
      <c r="J34" s="5"/>
      <c r="K34" s="5"/>
      <c r="L34" s="5"/>
      <c r="M34" s="5" t="str">
        <f t="shared" si="4"/>
        <v>R8502E S260084</v>
      </c>
      <c r="N34" s="4" t="str">
        <f t="shared" si="5"/>
        <v>84:1&amp;84:2</v>
      </c>
      <c r="O34" s="4" t="s">
        <v>396</v>
      </c>
      <c r="P34" s="4" t="s">
        <v>377</v>
      </c>
      <c r="Q34" s="4" t="s">
        <v>378</v>
      </c>
      <c r="R34" s="4">
        <v>12.2</v>
      </c>
      <c r="S34" s="4">
        <v>0</v>
      </c>
      <c r="T34">
        <v>202</v>
      </c>
    </row>
    <row r="35" ht="31.5" spans="1:20">
      <c r="A35" s="10" t="s">
        <v>276</v>
      </c>
      <c r="B35" s="5" t="s">
        <v>375</v>
      </c>
      <c r="C35" s="5">
        <f>填表说明!$AW$4</f>
        <v>84</v>
      </c>
      <c r="D35" s="5" t="s">
        <v>416</v>
      </c>
      <c r="E35" s="5" t="s">
        <v>417</v>
      </c>
      <c r="F35" s="5" t="s">
        <v>418</v>
      </c>
      <c r="G35" s="5" t="s">
        <v>419</v>
      </c>
      <c r="H35" s="5" t="s">
        <v>420</v>
      </c>
      <c r="I35" s="5" t="s">
        <v>426</v>
      </c>
      <c r="J35" s="5" t="s">
        <v>427</v>
      </c>
      <c r="K35" s="5" t="s">
        <v>428</v>
      </c>
      <c r="L35" s="5" t="s">
        <v>429</v>
      </c>
      <c r="M35" s="5" t="str">
        <f t="shared" si="4"/>
        <v>R8968E M192084</v>
      </c>
      <c r="N35" s="4" t="str">
        <f>C35&amp;E35&amp;D35&amp;C35&amp;F35&amp;D35&amp;C35&amp;G35&amp;D35&amp;C35&amp;H35&amp;D35&amp;C35&amp;I35&amp;D35&amp;C35&amp;J35&amp;D35&amp;C35&amp;K35&amp;D35&amp;C35&amp;L35</f>
        <v>84:1&amp;84:2&amp;84:3&amp;84:4&amp;84:5&amp;84:6&amp;84:7&amp;84:8</v>
      </c>
      <c r="O35" s="4">
        <v>16</v>
      </c>
      <c r="P35" s="4" t="s">
        <v>399</v>
      </c>
      <c r="Q35" s="4" t="s">
        <v>400</v>
      </c>
      <c r="R35" s="4">
        <v>15.2</v>
      </c>
      <c r="S35" s="4">
        <v>1</v>
      </c>
      <c r="T35">
        <v>16</v>
      </c>
    </row>
    <row r="36" ht="31.5" spans="1:20">
      <c r="A36" s="10" t="s">
        <v>293</v>
      </c>
      <c r="B36" s="5" t="s">
        <v>375</v>
      </c>
      <c r="C36" s="5">
        <f>填表说明!$AW$4</f>
        <v>84</v>
      </c>
      <c r="D36" s="5" t="s">
        <v>416</v>
      </c>
      <c r="E36" s="5" t="s">
        <v>417</v>
      </c>
      <c r="F36" s="5" t="s">
        <v>418</v>
      </c>
      <c r="G36" s="5"/>
      <c r="H36" s="5"/>
      <c r="I36" s="5"/>
      <c r="J36" s="5"/>
      <c r="K36" s="5"/>
      <c r="L36" s="5"/>
      <c r="M36" s="5" t="str">
        <f t="shared" si="4"/>
        <v>R8972 M192084</v>
      </c>
      <c r="N36" s="4" t="str">
        <f t="shared" ref="N36:N40" si="6">C36&amp;E36&amp;D36&amp;C36&amp;F36</f>
        <v>84:1&amp;84:2</v>
      </c>
      <c r="O36" s="4" t="s">
        <v>396</v>
      </c>
      <c r="P36" s="4" t="s">
        <v>377</v>
      </c>
      <c r="Q36" s="4" t="s">
        <v>378</v>
      </c>
      <c r="R36" s="4">
        <v>15.2</v>
      </c>
      <c r="S36" s="4">
        <v>0</v>
      </c>
      <c r="T36">
        <v>202</v>
      </c>
    </row>
    <row r="37" ht="47.25" spans="1:20">
      <c r="A37" s="6" t="s">
        <v>401</v>
      </c>
      <c r="B37" s="5" t="s">
        <v>375</v>
      </c>
      <c r="C37" s="5">
        <f>填表说明!$AW$4</f>
        <v>84</v>
      </c>
      <c r="D37" s="5" t="s">
        <v>416</v>
      </c>
      <c r="E37" s="5" t="s">
        <v>417</v>
      </c>
      <c r="F37" s="5"/>
      <c r="G37" s="5"/>
      <c r="H37" s="5"/>
      <c r="I37" s="5"/>
      <c r="J37" s="5"/>
      <c r="K37" s="5"/>
      <c r="L37" s="5"/>
      <c r="M37" s="5" t="str">
        <f t="shared" si="4"/>
        <v>R8972 M19202384</v>
      </c>
      <c r="N37" s="9" t="str">
        <f>C37&amp;E37</f>
        <v>84:1</v>
      </c>
      <c r="O37" s="4">
        <v>201</v>
      </c>
      <c r="P37" s="4" t="s">
        <v>403</v>
      </c>
      <c r="Q37" s="4" t="s">
        <v>404</v>
      </c>
      <c r="R37" s="4">
        <v>15.2</v>
      </c>
      <c r="S37" s="4">
        <v>0</v>
      </c>
      <c r="T37">
        <v>202</v>
      </c>
    </row>
    <row r="38" ht="47.25" spans="1:20">
      <c r="A38" s="7" t="s">
        <v>401</v>
      </c>
      <c r="B38" s="5" t="s">
        <v>391</v>
      </c>
      <c r="C38" s="5">
        <f>填表说明!$AW$4</f>
        <v>84</v>
      </c>
      <c r="D38" s="5" t="s">
        <v>416</v>
      </c>
      <c r="E38" s="5" t="s">
        <v>418</v>
      </c>
      <c r="F38" s="5"/>
      <c r="G38" s="5"/>
      <c r="H38" s="5"/>
      <c r="I38" s="5"/>
      <c r="J38" s="5"/>
      <c r="K38" s="5"/>
      <c r="L38" s="5"/>
      <c r="M38" s="5" t="str">
        <f t="shared" si="4"/>
        <v>R8972 M19202384</v>
      </c>
      <c r="N38" s="9" t="str">
        <f>C38&amp;E38</f>
        <v>84:2</v>
      </c>
      <c r="O38" s="4">
        <v>201</v>
      </c>
      <c r="P38" s="4" t="s">
        <v>393</v>
      </c>
      <c r="Q38" s="4" t="s">
        <v>394</v>
      </c>
      <c r="R38" s="4">
        <v>15.2</v>
      </c>
      <c r="S38" s="4">
        <v>0</v>
      </c>
      <c r="T38">
        <v>202</v>
      </c>
    </row>
    <row r="39" ht="31.5" spans="1:20">
      <c r="A39" s="10" t="s">
        <v>405</v>
      </c>
      <c r="B39" s="5" t="s">
        <v>391</v>
      </c>
      <c r="C39" s="5">
        <f>填表说明!$AW$4</f>
        <v>84</v>
      </c>
      <c r="D39" s="5" t="s">
        <v>416</v>
      </c>
      <c r="E39" s="5" t="s">
        <v>417</v>
      </c>
      <c r="F39" s="5" t="s">
        <v>418</v>
      </c>
      <c r="G39" s="5"/>
      <c r="H39" s="5"/>
      <c r="I39" s="5"/>
      <c r="J39" s="5"/>
      <c r="K39" s="5"/>
      <c r="L39" s="5"/>
      <c r="M39" s="5" t="str">
        <f t="shared" si="4"/>
        <v>R8972 S230084</v>
      </c>
      <c r="N39" s="4" t="str">
        <f t="shared" si="6"/>
        <v>84:1&amp;84:2</v>
      </c>
      <c r="O39" s="4" t="s">
        <v>396</v>
      </c>
      <c r="P39" s="4" t="s">
        <v>377</v>
      </c>
      <c r="Q39" s="4" t="s">
        <v>378</v>
      </c>
      <c r="R39" s="4">
        <v>15.2</v>
      </c>
      <c r="S39" s="4">
        <v>0</v>
      </c>
      <c r="T39">
        <v>202</v>
      </c>
    </row>
    <row r="40" ht="31.5" spans="1:20">
      <c r="A40" s="10" t="s">
        <v>348</v>
      </c>
      <c r="B40" s="5" t="s">
        <v>375</v>
      </c>
      <c r="C40" s="5">
        <f>填表说明!$AW$4</f>
        <v>84</v>
      </c>
      <c r="D40" s="5" t="s">
        <v>416</v>
      </c>
      <c r="E40" s="5" t="s">
        <v>417</v>
      </c>
      <c r="F40" s="5" t="s">
        <v>418</v>
      </c>
      <c r="G40" s="5"/>
      <c r="H40" s="5"/>
      <c r="I40" s="5"/>
      <c r="J40" s="5"/>
      <c r="K40" s="5"/>
      <c r="L40" s="5"/>
      <c r="M40" s="5" t="str">
        <f t="shared" si="4"/>
        <v>R8972E M192084</v>
      </c>
      <c r="N40" s="4" t="str">
        <f t="shared" si="6"/>
        <v>84:1&amp;84:2</v>
      </c>
      <c r="O40" s="4" t="s">
        <v>396</v>
      </c>
      <c r="P40" s="4" t="s">
        <v>377</v>
      </c>
      <c r="Q40" s="4" t="s">
        <v>378</v>
      </c>
      <c r="R40" s="4">
        <v>15.2</v>
      </c>
      <c r="S40" s="4">
        <v>0</v>
      </c>
      <c r="T40">
        <v>202</v>
      </c>
    </row>
    <row r="41" ht="47.25" spans="1:20">
      <c r="A41" s="6" t="s">
        <v>294</v>
      </c>
      <c r="B41" s="5" t="s">
        <v>375</v>
      </c>
      <c r="C41" s="5">
        <f>填表说明!$AW$4</f>
        <v>84</v>
      </c>
      <c r="D41" s="5" t="s">
        <v>416</v>
      </c>
      <c r="E41" s="5" t="s">
        <v>417</v>
      </c>
      <c r="F41" s="5"/>
      <c r="G41" s="5"/>
      <c r="H41" s="5"/>
      <c r="I41" s="5"/>
      <c r="J41" s="5"/>
      <c r="K41" s="5"/>
      <c r="L41" s="5"/>
      <c r="M41" s="5" t="str">
        <f t="shared" si="4"/>
        <v>R8972E M19202384</v>
      </c>
      <c r="N41" s="4" t="str">
        <f t="shared" ref="N41:N44" si="7">C41&amp;E41&amp;D41</f>
        <v>84:1&amp;</v>
      </c>
      <c r="O41" s="4">
        <v>201</v>
      </c>
      <c r="P41" s="4" t="s">
        <v>403</v>
      </c>
      <c r="Q41" s="4" t="s">
        <v>404</v>
      </c>
      <c r="R41" s="4">
        <v>15.2</v>
      </c>
      <c r="S41" s="4">
        <v>0</v>
      </c>
      <c r="T41">
        <v>202</v>
      </c>
    </row>
    <row r="42" ht="47.25" spans="1:20">
      <c r="A42" s="7" t="s">
        <v>294</v>
      </c>
      <c r="B42" s="5" t="s">
        <v>391</v>
      </c>
      <c r="C42" s="5">
        <f>填表说明!$AW$4</f>
        <v>84</v>
      </c>
      <c r="D42" s="5" t="s">
        <v>416</v>
      </c>
      <c r="E42" s="5" t="s">
        <v>418</v>
      </c>
      <c r="F42" s="5"/>
      <c r="G42" s="5"/>
      <c r="H42" s="5"/>
      <c r="I42" s="5"/>
      <c r="J42" s="5"/>
      <c r="K42" s="5"/>
      <c r="L42" s="5"/>
      <c r="M42" s="5" t="str">
        <f t="shared" si="4"/>
        <v>R8972E M19202384</v>
      </c>
      <c r="N42" s="4" t="str">
        <f t="shared" si="7"/>
        <v>84:2&amp;</v>
      </c>
      <c r="O42" s="4">
        <v>201</v>
      </c>
      <c r="P42" s="4" t="s">
        <v>393</v>
      </c>
      <c r="Q42" s="4" t="s">
        <v>394</v>
      </c>
      <c r="R42" s="4">
        <v>15.2</v>
      </c>
      <c r="S42" s="4">
        <v>0</v>
      </c>
      <c r="T42">
        <v>202</v>
      </c>
    </row>
    <row r="43" ht="47.25" spans="1:20">
      <c r="A43" s="6" t="s">
        <v>358</v>
      </c>
      <c r="B43" s="5" t="s">
        <v>375</v>
      </c>
      <c r="C43" s="5">
        <f>填表说明!$AW$4</f>
        <v>84</v>
      </c>
      <c r="D43" s="5" t="s">
        <v>416</v>
      </c>
      <c r="E43" s="5" t="s">
        <v>417</v>
      </c>
      <c r="F43" s="5"/>
      <c r="G43" s="5"/>
      <c r="H43" s="5"/>
      <c r="I43" s="5"/>
      <c r="J43" s="5"/>
      <c r="K43" s="5"/>
      <c r="L43" s="5"/>
      <c r="M43" s="5" t="str">
        <f t="shared" si="4"/>
        <v>R8972E M192023A84</v>
      </c>
      <c r="N43" s="4" t="str">
        <f t="shared" si="7"/>
        <v>84:1&amp;</v>
      </c>
      <c r="O43" s="4">
        <v>201</v>
      </c>
      <c r="P43" s="4" t="s">
        <v>403</v>
      </c>
      <c r="Q43" s="4" t="s">
        <v>404</v>
      </c>
      <c r="R43" s="4">
        <v>15.2</v>
      </c>
      <c r="S43" s="4">
        <v>0</v>
      </c>
      <c r="T43">
        <v>202</v>
      </c>
    </row>
    <row r="44" ht="47.25" spans="1:20">
      <c r="A44" s="7" t="s">
        <v>358</v>
      </c>
      <c r="B44" s="5" t="s">
        <v>406</v>
      </c>
      <c r="C44" s="5">
        <f>填表说明!$AW$4</f>
        <v>84</v>
      </c>
      <c r="D44" s="5" t="s">
        <v>416</v>
      </c>
      <c r="E44" s="5" t="s">
        <v>418</v>
      </c>
      <c r="F44" s="5"/>
      <c r="G44" s="5"/>
      <c r="H44" s="5"/>
      <c r="I44" s="5"/>
      <c r="J44" s="5"/>
      <c r="K44" s="5"/>
      <c r="L44" s="5"/>
      <c r="M44" s="5" t="str">
        <f t="shared" si="4"/>
        <v>R8972E M192023A84</v>
      </c>
      <c r="N44" s="4" t="str">
        <f t="shared" si="7"/>
        <v>84:2&amp;</v>
      </c>
      <c r="O44" s="4">
        <v>201</v>
      </c>
      <c r="P44" s="4" t="s">
        <v>393</v>
      </c>
      <c r="Q44" s="4" t="s">
        <v>394</v>
      </c>
      <c r="R44" s="4">
        <v>15.2</v>
      </c>
      <c r="S44" s="4">
        <v>0</v>
      </c>
      <c r="T44">
        <v>202</v>
      </c>
    </row>
    <row r="45" ht="47.25" spans="1:20">
      <c r="A45" s="10" t="s">
        <v>251</v>
      </c>
      <c r="B45" s="5" t="s">
        <v>375</v>
      </c>
      <c r="C45" s="5">
        <f>填表说明!$AW$4</f>
        <v>84</v>
      </c>
      <c r="D45" s="5" t="s">
        <v>416</v>
      </c>
      <c r="E45" s="5" t="s">
        <v>417</v>
      </c>
      <c r="F45" s="5" t="s">
        <v>418</v>
      </c>
      <c r="G45" s="5"/>
      <c r="H45" s="5"/>
      <c r="I45" s="5"/>
      <c r="J45" s="5"/>
      <c r="K45" s="5"/>
      <c r="L45" s="5"/>
      <c r="M45" s="5" t="str">
        <f t="shared" si="4"/>
        <v>R8972E M1920A84</v>
      </c>
      <c r="N45" s="4" t="str">
        <f t="shared" ref="N45:N48" si="8">C45&amp;E45&amp;D45&amp;C45&amp;F45</f>
        <v>84:1&amp;84:2</v>
      </c>
      <c r="O45" s="4" t="s">
        <v>396</v>
      </c>
      <c r="P45" s="4" t="s">
        <v>377</v>
      </c>
      <c r="Q45" s="4" t="s">
        <v>378</v>
      </c>
      <c r="R45" s="4">
        <v>15.2</v>
      </c>
      <c r="S45" s="4">
        <v>0</v>
      </c>
      <c r="T45">
        <v>202</v>
      </c>
    </row>
    <row r="46" ht="31.5" spans="1:20">
      <c r="A46" s="10" t="s">
        <v>407</v>
      </c>
      <c r="B46" s="5" t="s">
        <v>391</v>
      </c>
      <c r="C46" s="5">
        <f>填表说明!$AW$4</f>
        <v>84</v>
      </c>
      <c r="D46" s="5" t="s">
        <v>416</v>
      </c>
      <c r="E46" s="5" t="s">
        <v>417</v>
      </c>
      <c r="F46" s="5" t="s">
        <v>418</v>
      </c>
      <c r="G46" s="5"/>
      <c r="H46" s="5"/>
      <c r="I46" s="5"/>
      <c r="J46" s="5"/>
      <c r="K46" s="5"/>
      <c r="L46" s="5"/>
      <c r="M46" s="5" t="str">
        <f t="shared" si="4"/>
        <v>R8972E S230084</v>
      </c>
      <c r="N46" s="4" t="str">
        <f t="shared" si="8"/>
        <v>84:1&amp;84:2</v>
      </c>
      <c r="O46" s="4" t="s">
        <v>396</v>
      </c>
      <c r="P46" s="4" t="s">
        <v>377</v>
      </c>
      <c r="Q46" s="4" t="s">
        <v>378</v>
      </c>
      <c r="R46" s="4">
        <v>15.2</v>
      </c>
      <c r="S46" s="4">
        <v>0</v>
      </c>
      <c r="T46">
        <v>202</v>
      </c>
    </row>
    <row r="47" ht="47.25" spans="1:20">
      <c r="A47" s="10" t="s">
        <v>353</v>
      </c>
      <c r="B47" s="5" t="s">
        <v>391</v>
      </c>
      <c r="C47" s="5">
        <f>填表说明!$AW$4</f>
        <v>84</v>
      </c>
      <c r="D47" s="5" t="s">
        <v>416</v>
      </c>
      <c r="E47" s="5" t="s">
        <v>417</v>
      </c>
      <c r="F47" s="5" t="s">
        <v>418</v>
      </c>
      <c r="G47" s="5"/>
      <c r="H47" s="5"/>
      <c r="I47" s="5"/>
      <c r="J47" s="5"/>
      <c r="K47" s="5"/>
      <c r="L47" s="5"/>
      <c r="M47" s="5" t="str">
        <f t="shared" si="4"/>
        <v>R8972E S2300W84</v>
      </c>
      <c r="N47" s="4" t="str">
        <f t="shared" si="8"/>
        <v>84:1&amp;84:2</v>
      </c>
      <c r="O47" s="4" t="s">
        <v>396</v>
      </c>
      <c r="P47" s="4" t="s">
        <v>377</v>
      </c>
      <c r="Q47" s="4" t="s">
        <v>378</v>
      </c>
      <c r="R47" s="4">
        <v>15.2</v>
      </c>
      <c r="S47" s="4">
        <v>0</v>
      </c>
      <c r="T47">
        <v>202</v>
      </c>
    </row>
    <row r="48" ht="47.25" spans="1:20">
      <c r="A48" s="10" t="s">
        <v>350</v>
      </c>
      <c r="B48" s="5" t="s">
        <v>379</v>
      </c>
      <c r="C48" s="5">
        <f>填表说明!$AW$4</f>
        <v>84</v>
      </c>
      <c r="D48" s="5" t="s">
        <v>416</v>
      </c>
      <c r="E48" s="5" t="s">
        <v>417</v>
      </c>
      <c r="F48" s="5" t="s">
        <v>418</v>
      </c>
      <c r="G48" s="5"/>
      <c r="H48" s="5"/>
      <c r="I48" s="5"/>
      <c r="J48" s="5"/>
      <c r="K48" s="5"/>
      <c r="L48" s="5"/>
      <c r="M48" s="5" t="str">
        <f t="shared" si="4"/>
        <v>R8972E S2600W84</v>
      </c>
      <c r="N48" s="4" t="str">
        <f t="shared" si="8"/>
        <v>84:1&amp;84:2</v>
      </c>
      <c r="O48" s="4" t="s">
        <v>396</v>
      </c>
      <c r="P48" s="4" t="s">
        <v>377</v>
      </c>
      <c r="Q48" s="4" t="s">
        <v>378</v>
      </c>
      <c r="R48" s="4">
        <v>15.2</v>
      </c>
      <c r="S48" s="4">
        <v>0</v>
      </c>
      <c r="T48">
        <v>202</v>
      </c>
    </row>
    <row r="49" ht="31.5" spans="1:20">
      <c r="A49" s="10" t="s">
        <v>256</v>
      </c>
      <c r="B49" s="5" t="s">
        <v>375</v>
      </c>
      <c r="C49" s="5">
        <f>填表说明!$AW$4</f>
        <v>84</v>
      </c>
      <c r="D49" s="5" t="s">
        <v>416</v>
      </c>
      <c r="E49" s="5" t="s">
        <v>417</v>
      </c>
      <c r="F49" s="5" t="s">
        <v>418</v>
      </c>
      <c r="G49" s="5" t="s">
        <v>419</v>
      </c>
      <c r="H49" s="5" t="s">
        <v>420</v>
      </c>
      <c r="I49" s="5" t="s">
        <v>426</v>
      </c>
      <c r="J49" s="5" t="s">
        <v>427</v>
      </c>
      <c r="K49" s="5" t="s">
        <v>428</v>
      </c>
      <c r="L49" s="5" t="s">
        <v>429</v>
      </c>
      <c r="M49" s="5" t="str">
        <f t="shared" si="4"/>
        <v>R8978 M192084</v>
      </c>
      <c r="N49" s="4" t="str">
        <f t="shared" ref="N49:N51" si="9">C49&amp;E49&amp;D49&amp;C49&amp;F49&amp;D49&amp;C49&amp;G49&amp;D49&amp;C49&amp;H49&amp;D49&amp;C49&amp;I49&amp;D49&amp;C49&amp;J49&amp;D49&amp;C49&amp;K49&amp;D49&amp;C49&amp;L49</f>
        <v>84:1&amp;84:2&amp;84:3&amp;84:4&amp;84:5&amp;84:6&amp;84:7&amp;84:8</v>
      </c>
      <c r="O49" s="4">
        <v>16</v>
      </c>
      <c r="P49" s="4" t="s">
        <v>399</v>
      </c>
      <c r="Q49" s="4" t="s">
        <v>400</v>
      </c>
      <c r="R49" s="4">
        <v>15.2</v>
      </c>
      <c r="S49" s="4">
        <v>1</v>
      </c>
      <c r="T49">
        <v>16</v>
      </c>
    </row>
    <row r="50" ht="47.25" spans="1:20">
      <c r="A50" s="10" t="s">
        <v>152</v>
      </c>
      <c r="B50" s="5" t="s">
        <v>375</v>
      </c>
      <c r="C50" s="5">
        <f>填表说明!$AW$4</f>
        <v>84</v>
      </c>
      <c r="D50" s="5" t="s">
        <v>416</v>
      </c>
      <c r="E50" s="5" t="s">
        <v>417</v>
      </c>
      <c r="F50" s="5" t="s">
        <v>418</v>
      </c>
      <c r="G50" s="5" t="s">
        <v>419</v>
      </c>
      <c r="H50" s="5" t="s">
        <v>420</v>
      </c>
      <c r="I50" s="5" t="s">
        <v>426</v>
      </c>
      <c r="J50" s="5" t="s">
        <v>427</v>
      </c>
      <c r="K50" s="5" t="s">
        <v>428</v>
      </c>
      <c r="L50" s="5" t="s">
        <v>429</v>
      </c>
      <c r="M50" s="5" t="str">
        <f t="shared" si="4"/>
        <v>R8978 M1920A84</v>
      </c>
      <c r="N50" s="4" t="str">
        <f t="shared" si="9"/>
        <v>84:1&amp;84:2&amp;84:3&amp;84:4&amp;84:5&amp;84:6&amp;84:7&amp;84:8</v>
      </c>
      <c r="O50" s="4">
        <v>16</v>
      </c>
      <c r="P50" s="4" t="s">
        <v>399</v>
      </c>
      <c r="Q50" s="4" t="s">
        <v>400</v>
      </c>
      <c r="R50" s="4">
        <v>15.2</v>
      </c>
      <c r="S50" s="4">
        <v>1</v>
      </c>
      <c r="T50">
        <v>16</v>
      </c>
    </row>
    <row r="51" ht="47.25" spans="1:20">
      <c r="A51" s="10" t="s">
        <v>288</v>
      </c>
      <c r="B51" s="5" t="s">
        <v>379</v>
      </c>
      <c r="C51" s="5">
        <f>填表说明!$AW$4</f>
        <v>84</v>
      </c>
      <c r="D51" s="5" t="s">
        <v>416</v>
      </c>
      <c r="E51" s="5" t="s">
        <v>417</v>
      </c>
      <c r="F51" s="5" t="s">
        <v>418</v>
      </c>
      <c r="G51" s="5" t="s">
        <v>419</v>
      </c>
      <c r="H51" s="5" t="s">
        <v>420</v>
      </c>
      <c r="I51" s="5" t="s">
        <v>426</v>
      </c>
      <c r="J51" s="5" t="s">
        <v>427</v>
      </c>
      <c r="K51" s="5" t="s">
        <v>428</v>
      </c>
      <c r="L51" s="5" t="s">
        <v>429</v>
      </c>
      <c r="M51" s="5" t="str">
        <f t="shared" si="4"/>
        <v>R8978 S2600W84</v>
      </c>
      <c r="N51" s="4" t="str">
        <f t="shared" si="9"/>
        <v>84:1&amp;84:2&amp;84:3&amp;84:4&amp;84:5&amp;84:6&amp;84:7&amp;84:8</v>
      </c>
      <c r="O51" s="4">
        <v>16</v>
      </c>
      <c r="P51" s="4" t="s">
        <v>399</v>
      </c>
      <c r="Q51" s="4" t="s">
        <v>400</v>
      </c>
      <c r="R51" s="4">
        <v>15.2</v>
      </c>
      <c r="S51" s="4">
        <v>1</v>
      </c>
      <c r="T51">
        <v>16</v>
      </c>
    </row>
    <row r="52" ht="47.25" spans="1:20">
      <c r="A52" s="6" t="s">
        <v>408</v>
      </c>
      <c r="B52" s="5" t="s">
        <v>375</v>
      </c>
      <c r="C52" s="5">
        <f>填表说明!$AW$4</f>
        <v>84</v>
      </c>
      <c r="D52" s="5" t="s">
        <v>416</v>
      </c>
      <c r="E52" s="5" t="s">
        <v>417</v>
      </c>
      <c r="F52" s="5" t="s">
        <v>418</v>
      </c>
      <c r="G52" s="5"/>
      <c r="H52" s="5"/>
      <c r="I52" s="5"/>
      <c r="J52" s="5"/>
      <c r="K52" s="5"/>
      <c r="L52" s="5"/>
      <c r="M52" s="5" t="str">
        <f t="shared" si="4"/>
        <v>R8984 M19202684</v>
      </c>
      <c r="N52" s="4" t="str">
        <f t="shared" ref="N52:N55" si="10">C52&amp;E52&amp;D52&amp;C52&amp;F52</f>
        <v>84:1&amp;84:2</v>
      </c>
      <c r="O52" s="4">
        <v>252</v>
      </c>
      <c r="P52" s="4" t="s">
        <v>377</v>
      </c>
      <c r="Q52" s="4" t="s">
        <v>378</v>
      </c>
      <c r="R52" s="4">
        <v>15.2</v>
      </c>
      <c r="S52" s="4">
        <v>1</v>
      </c>
      <c r="T52">
        <v>16</v>
      </c>
    </row>
    <row r="53" ht="47.25" spans="1:20">
      <c r="A53" s="7" t="s">
        <v>408</v>
      </c>
      <c r="B53" s="5" t="s">
        <v>379</v>
      </c>
      <c r="C53" s="5">
        <f>填表说明!$AW$4</f>
        <v>84</v>
      </c>
      <c r="D53" s="5" t="s">
        <v>416</v>
      </c>
      <c r="E53" s="5" t="s">
        <v>419</v>
      </c>
      <c r="F53" s="5" t="s">
        <v>420</v>
      </c>
      <c r="G53" s="5"/>
      <c r="H53" s="5"/>
      <c r="I53" s="5"/>
      <c r="J53" s="5"/>
      <c r="K53" s="5"/>
      <c r="L53" s="5"/>
      <c r="M53" s="5" t="str">
        <f t="shared" si="4"/>
        <v>R8984 M19202684</v>
      </c>
      <c r="N53" s="4" t="str">
        <f t="shared" si="10"/>
        <v>84:3&amp;84:4</v>
      </c>
      <c r="O53" s="4">
        <v>252</v>
      </c>
      <c r="P53" s="4" t="s">
        <v>381</v>
      </c>
      <c r="Q53" s="4" t="s">
        <v>382</v>
      </c>
      <c r="R53" s="4">
        <v>15.2</v>
      </c>
      <c r="S53" s="4">
        <v>1</v>
      </c>
      <c r="T53">
        <v>16</v>
      </c>
    </row>
    <row r="54" ht="47.25" hidden="1" spans="1:20">
      <c r="A54" s="6" t="s">
        <v>363</v>
      </c>
      <c r="B54" s="5" t="s">
        <v>375</v>
      </c>
      <c r="C54" s="5">
        <f>填表说明!$AW$5</f>
        <v>85</v>
      </c>
      <c r="D54" s="5" t="s">
        <v>416</v>
      </c>
      <c r="E54" s="5" t="s">
        <v>417</v>
      </c>
      <c r="F54" s="5" t="s">
        <v>418</v>
      </c>
      <c r="G54" s="5"/>
      <c r="H54" s="5"/>
      <c r="I54" s="5"/>
      <c r="J54" s="5"/>
      <c r="K54" s="5"/>
      <c r="L54" s="5"/>
      <c r="M54" s="5" t="str">
        <f t="shared" si="4"/>
        <v>A8712 M19202685</v>
      </c>
      <c r="N54" s="4" t="str">
        <f t="shared" si="10"/>
        <v>85:1&amp;85:2</v>
      </c>
      <c r="O54" s="4">
        <v>202</v>
      </c>
      <c r="P54" s="4" t="s">
        <v>377</v>
      </c>
      <c r="Q54" s="4" t="s">
        <v>378</v>
      </c>
      <c r="R54" s="4">
        <v>12.2</v>
      </c>
      <c r="S54" s="4">
        <v>0</v>
      </c>
    </row>
    <row r="55" ht="47.25" hidden="1" spans="1:20">
      <c r="A55" s="7" t="s">
        <v>363</v>
      </c>
      <c r="B55" s="5" t="s">
        <v>379</v>
      </c>
      <c r="C55" s="5">
        <f>填表说明!$AW$5</f>
        <v>85</v>
      </c>
      <c r="D55" s="5" t="s">
        <v>416</v>
      </c>
      <c r="E55" s="5" t="s">
        <v>419</v>
      </c>
      <c r="F55" s="5" t="s">
        <v>420</v>
      </c>
      <c r="G55" s="5"/>
      <c r="H55" s="5"/>
      <c r="I55" s="5"/>
      <c r="J55" s="5"/>
      <c r="K55" s="5"/>
      <c r="L55" s="5"/>
      <c r="M55" s="5" t="str">
        <f t="shared" si="4"/>
        <v>A8712 M19202685</v>
      </c>
      <c r="N55" s="4" t="str">
        <f t="shared" si="10"/>
        <v>85:3&amp;85:4</v>
      </c>
      <c r="O55" s="4">
        <v>202</v>
      </c>
      <c r="P55" s="4" t="s">
        <v>381</v>
      </c>
      <c r="Q55" s="4" t="s">
        <v>382</v>
      </c>
      <c r="R55" s="4">
        <v>12.2</v>
      </c>
      <c r="S55" s="4">
        <v>0</v>
      </c>
    </row>
    <row r="56" ht="47.25" hidden="1" spans="1:20">
      <c r="A56" s="6" t="s">
        <v>383</v>
      </c>
      <c r="B56" s="8" t="s">
        <v>375</v>
      </c>
      <c r="C56" s="5">
        <f>填表说明!$AW$5</f>
        <v>85</v>
      </c>
      <c r="D56" s="5" t="s">
        <v>416</v>
      </c>
      <c r="E56" s="8" t="s">
        <v>417</v>
      </c>
      <c r="F56" s="8" t="s">
        <v>418</v>
      </c>
      <c r="G56" s="8" t="s">
        <v>419</v>
      </c>
      <c r="H56" s="8" t="s">
        <v>420</v>
      </c>
      <c r="I56" s="8"/>
      <c r="J56" s="8"/>
      <c r="K56" s="8"/>
      <c r="L56" s="8"/>
      <c r="M56" s="5" t="str">
        <f t="shared" si="4"/>
        <v>A8724 M19202685</v>
      </c>
      <c r="N56" s="9" t="str">
        <f>C56&amp;E56&amp;D56&amp;C56&amp;F56&amp;D56&amp;C56&amp;G56&amp;D56&amp;C56&amp;H56</f>
        <v>85:1&amp;85:2&amp;85:3&amp;85:4</v>
      </c>
      <c r="O56" s="4">
        <v>351</v>
      </c>
      <c r="P56" s="4" t="s">
        <v>385</v>
      </c>
      <c r="Q56" s="4" t="s">
        <v>386</v>
      </c>
      <c r="R56" s="4">
        <v>12.2</v>
      </c>
      <c r="S56" s="4">
        <v>1</v>
      </c>
    </row>
    <row r="57" ht="47.25" hidden="1" spans="1:20">
      <c r="A57" s="7" t="s">
        <v>383</v>
      </c>
      <c r="B57" s="8" t="s">
        <v>387</v>
      </c>
      <c r="C57" s="5">
        <f>填表说明!$AW$5</f>
        <v>85</v>
      </c>
      <c r="D57" s="5" t="s">
        <v>416</v>
      </c>
      <c r="E57" s="8" t="s">
        <v>426</v>
      </c>
      <c r="F57" s="8" t="s">
        <v>427</v>
      </c>
      <c r="G57" s="8" t="s">
        <v>428</v>
      </c>
      <c r="H57" s="8" t="s">
        <v>429</v>
      </c>
      <c r="I57" s="8"/>
      <c r="J57" s="8"/>
      <c r="K57" s="8"/>
      <c r="L57" s="8"/>
      <c r="M57" s="5" t="str">
        <f t="shared" si="4"/>
        <v>A8724 M19202685</v>
      </c>
      <c r="N57" s="9" t="str">
        <f>C57&amp;E57&amp;D57&amp;C57&amp;F57&amp;D57&amp;C57&amp;G57&amp;D57&amp;C57&amp;H57</f>
        <v>85:5&amp;85:6&amp;85:7&amp;85:8</v>
      </c>
      <c r="O57" s="4">
        <v>351</v>
      </c>
      <c r="P57" s="4" t="s">
        <v>389</v>
      </c>
      <c r="Q57" s="4" t="s">
        <v>390</v>
      </c>
      <c r="R57" s="4">
        <v>12.2</v>
      </c>
      <c r="S57" s="4">
        <v>1</v>
      </c>
    </row>
    <row r="58" ht="31.5" hidden="1" spans="1:20">
      <c r="A58" s="10" t="s">
        <v>352</v>
      </c>
      <c r="B58" s="5" t="s">
        <v>391</v>
      </c>
      <c r="C58" s="5">
        <f>填表说明!$AW$5</f>
        <v>85</v>
      </c>
      <c r="D58" s="5" t="s">
        <v>416</v>
      </c>
      <c r="E58" s="5" t="s">
        <v>418</v>
      </c>
      <c r="F58" s="5"/>
      <c r="G58" s="5"/>
      <c r="H58" s="5"/>
      <c r="I58" s="5"/>
      <c r="J58" s="5"/>
      <c r="K58" s="5"/>
      <c r="L58" s="5"/>
      <c r="M58" s="5" t="str">
        <f t="shared" si="4"/>
        <v>R8502 S230085</v>
      </c>
      <c r="N58" s="9" t="str">
        <f>C58&amp;E58</f>
        <v>85:2</v>
      </c>
      <c r="O58" s="4">
        <v>201</v>
      </c>
      <c r="P58" s="4" t="s">
        <v>393</v>
      </c>
      <c r="Q58" s="4" t="s">
        <v>394</v>
      </c>
      <c r="R58" s="4">
        <v>12.2</v>
      </c>
      <c r="S58" s="4">
        <v>0</v>
      </c>
    </row>
    <row r="59" ht="31.5" hidden="1" spans="1:20">
      <c r="A59" s="10" t="s">
        <v>395</v>
      </c>
      <c r="B59" s="5" t="s">
        <v>379</v>
      </c>
      <c r="C59" s="5">
        <f>填表说明!$AW$5</f>
        <v>85</v>
      </c>
      <c r="D59" s="5" t="s">
        <v>416</v>
      </c>
      <c r="E59" s="5" t="s">
        <v>417</v>
      </c>
      <c r="F59" s="5" t="s">
        <v>418</v>
      </c>
      <c r="G59" s="5"/>
      <c r="H59" s="5"/>
      <c r="I59" s="5"/>
      <c r="J59" s="5"/>
      <c r="K59" s="5"/>
      <c r="L59" s="5"/>
      <c r="M59" s="5" t="str">
        <f t="shared" si="4"/>
        <v>R8502 S260085</v>
      </c>
      <c r="N59" s="4" t="str">
        <f t="shared" ref="N59:N62" si="11">C59&amp;E59&amp;D59&amp;C59&amp;F59</f>
        <v>85:1&amp;85:2</v>
      </c>
      <c r="O59" s="4" t="s">
        <v>396</v>
      </c>
      <c r="P59" s="4" t="s">
        <v>377</v>
      </c>
      <c r="Q59" s="4" t="s">
        <v>378</v>
      </c>
      <c r="R59" s="4">
        <v>12.2</v>
      </c>
      <c r="S59" s="4">
        <v>0</v>
      </c>
    </row>
    <row r="60" ht="31.5" hidden="1" spans="1:20">
      <c r="A60" s="10" t="s">
        <v>397</v>
      </c>
      <c r="B60" s="5" t="s">
        <v>379</v>
      </c>
      <c r="C60" s="5">
        <f>填表说明!$AW$5</f>
        <v>85</v>
      </c>
      <c r="D60" s="5" t="s">
        <v>416</v>
      </c>
      <c r="E60" s="5" t="s">
        <v>417</v>
      </c>
      <c r="F60" s="5" t="s">
        <v>418</v>
      </c>
      <c r="G60" s="5"/>
      <c r="H60" s="5"/>
      <c r="I60" s="5"/>
      <c r="J60" s="5"/>
      <c r="K60" s="5"/>
      <c r="L60" s="5"/>
      <c r="M60" s="5" t="str">
        <f t="shared" si="4"/>
        <v>R8502E S260085</v>
      </c>
      <c r="N60" s="4" t="str">
        <f t="shared" si="11"/>
        <v>85:1&amp;85:2</v>
      </c>
      <c r="O60" s="4" t="s">
        <v>396</v>
      </c>
      <c r="P60" s="4" t="s">
        <v>377</v>
      </c>
      <c r="Q60" s="4" t="s">
        <v>378</v>
      </c>
      <c r="R60" s="4">
        <v>12.2</v>
      </c>
      <c r="S60" s="4">
        <v>0</v>
      </c>
    </row>
    <row r="61" ht="31.5" hidden="1" spans="1:20">
      <c r="A61" s="10" t="s">
        <v>276</v>
      </c>
      <c r="B61" s="5" t="s">
        <v>375</v>
      </c>
      <c r="C61" s="5">
        <f>填表说明!$AW$5</f>
        <v>85</v>
      </c>
      <c r="D61" s="5" t="s">
        <v>416</v>
      </c>
      <c r="E61" s="5" t="s">
        <v>417</v>
      </c>
      <c r="F61" s="5" t="s">
        <v>418</v>
      </c>
      <c r="G61" s="5" t="s">
        <v>419</v>
      </c>
      <c r="H61" s="5" t="s">
        <v>420</v>
      </c>
      <c r="I61" s="5" t="s">
        <v>426</v>
      </c>
      <c r="J61" s="5" t="s">
        <v>427</v>
      </c>
      <c r="K61" s="5" t="s">
        <v>428</v>
      </c>
      <c r="L61" s="5" t="s">
        <v>429</v>
      </c>
      <c r="M61" s="5" t="str">
        <f t="shared" si="4"/>
        <v>R8968E M192085</v>
      </c>
      <c r="N61" s="4" t="str">
        <f>C61&amp;E61&amp;D61&amp;C61&amp;F61&amp;D61&amp;C61&amp;G61&amp;D61&amp;C61&amp;H61&amp;D61&amp;C61&amp;I61&amp;D61&amp;C61&amp;J61&amp;D61&amp;C61&amp;K61&amp;D61&amp;C61&amp;L61</f>
        <v>85:1&amp;85:2&amp;85:3&amp;85:4&amp;85:5&amp;85:6&amp;85:7&amp;85:8</v>
      </c>
      <c r="O61" s="4">
        <v>16</v>
      </c>
      <c r="P61" s="4" t="s">
        <v>399</v>
      </c>
      <c r="Q61" s="4" t="s">
        <v>400</v>
      </c>
      <c r="R61" s="4">
        <v>15.2</v>
      </c>
      <c r="S61" s="4">
        <v>1</v>
      </c>
    </row>
    <row r="62" ht="31.5" hidden="1" spans="1:20">
      <c r="A62" s="10" t="s">
        <v>293</v>
      </c>
      <c r="B62" s="5" t="s">
        <v>375</v>
      </c>
      <c r="C62" s="5">
        <f>填表说明!$AW$5</f>
        <v>85</v>
      </c>
      <c r="D62" s="5" t="s">
        <v>416</v>
      </c>
      <c r="E62" s="5" t="s">
        <v>417</v>
      </c>
      <c r="F62" s="5" t="s">
        <v>418</v>
      </c>
      <c r="G62" s="5"/>
      <c r="H62" s="5"/>
      <c r="I62" s="5"/>
      <c r="J62" s="5"/>
      <c r="K62" s="5"/>
      <c r="L62" s="5"/>
      <c r="M62" s="5" t="str">
        <f t="shared" si="4"/>
        <v>R8972 M192085</v>
      </c>
      <c r="N62" s="4" t="str">
        <f t="shared" si="11"/>
        <v>85:1&amp;85:2</v>
      </c>
      <c r="O62" s="4" t="s">
        <v>396</v>
      </c>
      <c r="P62" s="4" t="s">
        <v>377</v>
      </c>
      <c r="Q62" s="4" t="s">
        <v>378</v>
      </c>
      <c r="R62" s="4">
        <v>15.2</v>
      </c>
      <c r="S62" s="4">
        <v>0</v>
      </c>
    </row>
    <row r="63" ht="47.25" hidden="1" spans="1:20">
      <c r="A63" s="6" t="s">
        <v>401</v>
      </c>
      <c r="B63" s="5" t="s">
        <v>375</v>
      </c>
      <c r="C63" s="5">
        <f>填表说明!$AW$5</f>
        <v>85</v>
      </c>
      <c r="D63" s="5" t="s">
        <v>416</v>
      </c>
      <c r="E63" s="5" t="s">
        <v>417</v>
      </c>
      <c r="F63" s="5"/>
      <c r="G63" s="5"/>
      <c r="H63" s="5"/>
      <c r="I63" s="5"/>
      <c r="J63" s="5"/>
      <c r="K63" s="5"/>
      <c r="L63" s="5"/>
      <c r="M63" s="5" t="str">
        <f t="shared" si="4"/>
        <v>R8972 M19202385</v>
      </c>
      <c r="N63" s="9" t="str">
        <f>C63&amp;E63</f>
        <v>85:1</v>
      </c>
      <c r="O63" s="4">
        <v>201</v>
      </c>
      <c r="P63" s="4" t="s">
        <v>403</v>
      </c>
      <c r="Q63" s="4" t="s">
        <v>404</v>
      </c>
      <c r="R63" s="4">
        <v>15.2</v>
      </c>
      <c r="S63" s="4">
        <v>0</v>
      </c>
    </row>
    <row r="64" ht="47.25" hidden="1" spans="1:20">
      <c r="A64" s="7" t="s">
        <v>401</v>
      </c>
      <c r="B64" s="5" t="s">
        <v>391</v>
      </c>
      <c r="C64" s="5">
        <f>填表说明!$AW$5</f>
        <v>85</v>
      </c>
      <c r="D64" s="5" t="s">
        <v>416</v>
      </c>
      <c r="E64" s="5" t="s">
        <v>418</v>
      </c>
      <c r="F64" s="5"/>
      <c r="G64" s="5"/>
      <c r="H64" s="5"/>
      <c r="I64" s="5"/>
      <c r="J64" s="5"/>
      <c r="K64" s="5"/>
      <c r="L64" s="5"/>
      <c r="M64" s="5" t="str">
        <f t="shared" si="4"/>
        <v>R8972 M19202385</v>
      </c>
      <c r="N64" s="9" t="str">
        <f>C64&amp;E64</f>
        <v>85:2</v>
      </c>
      <c r="O64" s="4">
        <v>201</v>
      </c>
      <c r="P64" s="4" t="s">
        <v>393</v>
      </c>
      <c r="Q64" s="4" t="s">
        <v>394</v>
      </c>
      <c r="R64" s="4">
        <v>15.2</v>
      </c>
      <c r="S64" s="4">
        <v>0</v>
      </c>
    </row>
    <row r="65" ht="31.5" hidden="1" spans="1:19">
      <c r="A65" s="10" t="s">
        <v>405</v>
      </c>
      <c r="B65" s="5" t="s">
        <v>391</v>
      </c>
      <c r="C65" s="5">
        <f>填表说明!$AW$5</f>
        <v>85</v>
      </c>
      <c r="D65" s="5" t="s">
        <v>416</v>
      </c>
      <c r="E65" s="5" t="s">
        <v>417</v>
      </c>
      <c r="F65" s="5" t="s">
        <v>418</v>
      </c>
      <c r="G65" s="5"/>
      <c r="H65" s="5"/>
      <c r="I65" s="5"/>
      <c r="J65" s="5"/>
      <c r="K65" s="5"/>
      <c r="L65" s="5"/>
      <c r="M65" s="5" t="str">
        <f t="shared" si="4"/>
        <v>R8972 S230085</v>
      </c>
      <c r="N65" s="4" t="str">
        <f>C65&amp;E65&amp;D65&amp;C65&amp;F65</f>
        <v>85:1&amp;85:2</v>
      </c>
      <c r="O65" s="4" t="s">
        <v>396</v>
      </c>
      <c r="P65" s="4" t="s">
        <v>377</v>
      </c>
      <c r="Q65" s="4" t="s">
        <v>378</v>
      </c>
      <c r="R65" s="4">
        <v>15.2</v>
      </c>
      <c r="S65" s="4">
        <v>0</v>
      </c>
    </row>
    <row r="66" ht="31.5" hidden="1" spans="1:19">
      <c r="A66" s="10" t="s">
        <v>348</v>
      </c>
      <c r="B66" s="5" t="s">
        <v>375</v>
      </c>
      <c r="C66" s="5">
        <f>填表说明!$AW$5</f>
        <v>85</v>
      </c>
      <c r="D66" s="5" t="s">
        <v>416</v>
      </c>
      <c r="E66" s="5" t="s">
        <v>417</v>
      </c>
      <c r="F66" s="5" t="s">
        <v>418</v>
      </c>
      <c r="G66" s="5"/>
      <c r="H66" s="5"/>
      <c r="I66" s="5"/>
      <c r="J66" s="5"/>
      <c r="K66" s="5"/>
      <c r="L66" s="5"/>
      <c r="M66" s="5" t="str">
        <f t="shared" si="4"/>
        <v>R8972E M192085</v>
      </c>
      <c r="N66" s="4" t="str">
        <f>C66&amp;E66&amp;D66&amp;C66&amp;F66</f>
        <v>85:1&amp;85:2</v>
      </c>
      <c r="O66" s="4" t="s">
        <v>396</v>
      </c>
      <c r="P66" s="4" t="s">
        <v>377</v>
      </c>
      <c r="Q66" s="4" t="s">
        <v>378</v>
      </c>
      <c r="R66" s="4">
        <v>15.2</v>
      </c>
      <c r="S66" s="4">
        <v>0</v>
      </c>
    </row>
    <row r="67" ht="47.25" hidden="1" spans="1:19">
      <c r="A67" s="6" t="s">
        <v>294</v>
      </c>
      <c r="B67" s="5" t="s">
        <v>375</v>
      </c>
      <c r="C67" s="5">
        <f>填表说明!$AW$5</f>
        <v>85</v>
      </c>
      <c r="D67" s="5" t="s">
        <v>416</v>
      </c>
      <c r="E67" s="5" t="s">
        <v>417</v>
      </c>
      <c r="F67" s="5"/>
      <c r="G67" s="5"/>
      <c r="H67" s="5"/>
      <c r="I67" s="5"/>
      <c r="J67" s="5"/>
      <c r="K67" s="5"/>
      <c r="L67" s="5"/>
      <c r="M67" s="5" t="str">
        <f t="shared" si="4"/>
        <v>R8972E M19202385</v>
      </c>
      <c r="N67" s="4" t="str">
        <f t="shared" ref="N67:N70" si="12">C67&amp;E67&amp;D67</f>
        <v>85:1&amp;</v>
      </c>
      <c r="O67" s="4">
        <v>201</v>
      </c>
      <c r="P67" s="4" t="s">
        <v>403</v>
      </c>
      <c r="Q67" s="4" t="s">
        <v>404</v>
      </c>
      <c r="R67" s="4">
        <v>15.2</v>
      </c>
      <c r="S67" s="4">
        <v>0</v>
      </c>
    </row>
    <row r="68" ht="47.25" hidden="1" spans="1:19">
      <c r="A68" s="7" t="s">
        <v>294</v>
      </c>
      <c r="B68" s="5" t="s">
        <v>391</v>
      </c>
      <c r="C68" s="5">
        <f>填表说明!$AW$5</f>
        <v>85</v>
      </c>
      <c r="D68" s="5" t="s">
        <v>416</v>
      </c>
      <c r="E68" s="5" t="s">
        <v>418</v>
      </c>
      <c r="F68" s="5"/>
      <c r="G68" s="5"/>
      <c r="H68" s="5"/>
      <c r="I68" s="5"/>
      <c r="J68" s="5"/>
      <c r="K68" s="5"/>
      <c r="L68" s="5"/>
      <c r="M68" s="5" t="str">
        <f t="shared" si="4"/>
        <v>R8972E M19202385</v>
      </c>
      <c r="N68" s="4" t="str">
        <f t="shared" si="12"/>
        <v>85:2&amp;</v>
      </c>
      <c r="O68" s="4">
        <v>201</v>
      </c>
      <c r="P68" s="4" t="s">
        <v>393</v>
      </c>
      <c r="Q68" s="4" t="s">
        <v>394</v>
      </c>
      <c r="R68" s="4">
        <v>15.2</v>
      </c>
      <c r="S68" s="4">
        <v>0</v>
      </c>
    </row>
    <row r="69" ht="47.25" hidden="1" spans="1:19">
      <c r="A69" s="6" t="s">
        <v>358</v>
      </c>
      <c r="B69" s="5" t="s">
        <v>375</v>
      </c>
      <c r="C69" s="5">
        <f>填表说明!$AW$5</f>
        <v>85</v>
      </c>
      <c r="D69" s="5" t="s">
        <v>416</v>
      </c>
      <c r="E69" s="5" t="s">
        <v>417</v>
      </c>
      <c r="F69" s="5"/>
      <c r="G69" s="5"/>
      <c r="H69" s="5"/>
      <c r="I69" s="5"/>
      <c r="J69" s="5"/>
      <c r="K69" s="5"/>
      <c r="L69" s="5"/>
      <c r="M69" s="5" t="str">
        <f t="shared" si="4"/>
        <v>R8972E M192023A85</v>
      </c>
      <c r="N69" s="4" t="str">
        <f t="shared" si="12"/>
        <v>85:1&amp;</v>
      </c>
      <c r="O69" s="4">
        <v>201</v>
      </c>
      <c r="P69" s="4" t="s">
        <v>403</v>
      </c>
      <c r="Q69" s="4" t="s">
        <v>404</v>
      </c>
      <c r="R69" s="4">
        <v>15.2</v>
      </c>
      <c r="S69" s="4">
        <v>0</v>
      </c>
    </row>
    <row r="70" ht="47.25" hidden="1" spans="1:19">
      <c r="A70" s="7" t="s">
        <v>358</v>
      </c>
      <c r="B70" s="5" t="s">
        <v>406</v>
      </c>
      <c r="C70" s="5">
        <f>填表说明!$AW$5</f>
        <v>85</v>
      </c>
      <c r="D70" s="5" t="s">
        <v>416</v>
      </c>
      <c r="E70" s="5" t="s">
        <v>418</v>
      </c>
      <c r="F70" s="5"/>
      <c r="G70" s="5"/>
      <c r="H70" s="5"/>
      <c r="I70" s="5"/>
      <c r="J70" s="5"/>
      <c r="K70" s="5"/>
      <c r="L70" s="5"/>
      <c r="M70" s="5" t="str">
        <f t="shared" si="4"/>
        <v>R8972E M192023A85</v>
      </c>
      <c r="N70" s="4" t="str">
        <f t="shared" si="12"/>
        <v>85:2&amp;</v>
      </c>
      <c r="O70" s="4">
        <v>201</v>
      </c>
      <c r="P70" s="4" t="s">
        <v>393</v>
      </c>
      <c r="Q70" s="4" t="s">
        <v>394</v>
      </c>
      <c r="R70" s="4">
        <v>15.2</v>
      </c>
      <c r="S70" s="4">
        <v>0</v>
      </c>
    </row>
    <row r="71" ht="47.25" hidden="1" spans="1:19">
      <c r="A71" s="10" t="s">
        <v>251</v>
      </c>
      <c r="B71" s="5" t="s">
        <v>375</v>
      </c>
      <c r="C71" s="5">
        <f>填表说明!$AW$5</f>
        <v>85</v>
      </c>
      <c r="D71" s="5" t="s">
        <v>416</v>
      </c>
      <c r="E71" s="5" t="s">
        <v>417</v>
      </c>
      <c r="F71" s="5" t="s">
        <v>418</v>
      </c>
      <c r="G71" s="5"/>
      <c r="H71" s="5"/>
      <c r="I71" s="5"/>
      <c r="J71" s="5"/>
      <c r="K71" s="5"/>
      <c r="L71" s="5"/>
      <c r="M71" s="5" t="str">
        <f t="shared" si="4"/>
        <v>R8972E M1920A85</v>
      </c>
      <c r="N71" s="4" t="str">
        <f t="shared" ref="N71:N74" si="13">C71&amp;E71&amp;D71&amp;C71&amp;F71</f>
        <v>85:1&amp;85:2</v>
      </c>
      <c r="O71" s="4" t="s">
        <v>396</v>
      </c>
      <c r="P71" s="4" t="s">
        <v>377</v>
      </c>
      <c r="Q71" s="4" t="s">
        <v>378</v>
      </c>
      <c r="R71" s="4">
        <v>15.2</v>
      </c>
      <c r="S71" s="4">
        <v>0</v>
      </c>
    </row>
    <row r="72" ht="31.5" hidden="1" spans="1:19">
      <c r="A72" s="10" t="s">
        <v>407</v>
      </c>
      <c r="B72" s="5" t="s">
        <v>391</v>
      </c>
      <c r="C72" s="5">
        <f>填表说明!$AW$5</f>
        <v>85</v>
      </c>
      <c r="D72" s="5" t="s">
        <v>416</v>
      </c>
      <c r="E72" s="5" t="s">
        <v>417</v>
      </c>
      <c r="F72" s="5" t="s">
        <v>418</v>
      </c>
      <c r="G72" s="5"/>
      <c r="H72" s="5"/>
      <c r="I72" s="5"/>
      <c r="J72" s="5"/>
      <c r="K72" s="5"/>
      <c r="L72" s="5"/>
      <c r="M72" s="5" t="str">
        <f t="shared" si="4"/>
        <v>R8972E S230085</v>
      </c>
      <c r="N72" s="4" t="str">
        <f t="shared" si="13"/>
        <v>85:1&amp;85:2</v>
      </c>
      <c r="O72" s="4" t="s">
        <v>396</v>
      </c>
      <c r="P72" s="4" t="s">
        <v>377</v>
      </c>
      <c r="Q72" s="4" t="s">
        <v>378</v>
      </c>
      <c r="R72" s="4">
        <v>15.2</v>
      </c>
      <c r="S72" s="4">
        <v>0</v>
      </c>
    </row>
    <row r="73" ht="47.25" hidden="1" spans="1:19">
      <c r="A73" s="10" t="s">
        <v>353</v>
      </c>
      <c r="B73" s="5" t="s">
        <v>391</v>
      </c>
      <c r="C73" s="5">
        <f>填表说明!$AW$5</f>
        <v>85</v>
      </c>
      <c r="D73" s="5" t="s">
        <v>416</v>
      </c>
      <c r="E73" s="5" t="s">
        <v>417</v>
      </c>
      <c r="F73" s="5" t="s">
        <v>418</v>
      </c>
      <c r="G73" s="5"/>
      <c r="H73" s="5"/>
      <c r="I73" s="5"/>
      <c r="J73" s="5"/>
      <c r="K73" s="5"/>
      <c r="L73" s="5"/>
      <c r="M73" s="5" t="str">
        <f t="shared" si="4"/>
        <v>R8972E S2300W85</v>
      </c>
      <c r="N73" s="4" t="str">
        <f t="shared" si="13"/>
        <v>85:1&amp;85:2</v>
      </c>
      <c r="O73" s="4" t="s">
        <v>396</v>
      </c>
      <c r="P73" s="4" t="s">
        <v>377</v>
      </c>
      <c r="Q73" s="4" t="s">
        <v>378</v>
      </c>
      <c r="R73" s="4">
        <v>15.2</v>
      </c>
      <c r="S73" s="4">
        <v>0</v>
      </c>
    </row>
    <row r="74" ht="47.25" hidden="1" spans="1:19">
      <c r="A74" s="10" t="s">
        <v>350</v>
      </c>
      <c r="B74" s="5" t="s">
        <v>379</v>
      </c>
      <c r="C74" s="5">
        <f>填表说明!$AW$5</f>
        <v>85</v>
      </c>
      <c r="D74" s="5" t="s">
        <v>416</v>
      </c>
      <c r="E74" s="5" t="s">
        <v>417</v>
      </c>
      <c r="F74" s="5" t="s">
        <v>418</v>
      </c>
      <c r="G74" s="5"/>
      <c r="H74" s="5"/>
      <c r="I74" s="5"/>
      <c r="J74" s="5"/>
      <c r="K74" s="5"/>
      <c r="L74" s="5"/>
      <c r="M74" s="5" t="str">
        <f t="shared" si="4"/>
        <v>R8972E S2600W85</v>
      </c>
      <c r="N74" s="4" t="str">
        <f t="shared" si="13"/>
        <v>85:1&amp;85:2</v>
      </c>
      <c r="O74" s="4" t="s">
        <v>396</v>
      </c>
      <c r="P74" s="4" t="s">
        <v>377</v>
      </c>
      <c r="Q74" s="4" t="s">
        <v>378</v>
      </c>
      <c r="R74" s="4">
        <v>15.2</v>
      </c>
      <c r="S74" s="4">
        <v>0</v>
      </c>
    </row>
    <row r="75" ht="31.5" hidden="1" spans="1:19">
      <c r="A75" s="10" t="s">
        <v>256</v>
      </c>
      <c r="B75" s="5" t="s">
        <v>375</v>
      </c>
      <c r="C75" s="5">
        <f>填表说明!$AW$5</f>
        <v>85</v>
      </c>
      <c r="D75" s="5" t="s">
        <v>416</v>
      </c>
      <c r="E75" s="5" t="s">
        <v>417</v>
      </c>
      <c r="F75" s="5" t="s">
        <v>418</v>
      </c>
      <c r="G75" s="5" t="s">
        <v>419</v>
      </c>
      <c r="H75" s="5" t="s">
        <v>420</v>
      </c>
      <c r="I75" s="5" t="s">
        <v>426</v>
      </c>
      <c r="J75" s="5" t="s">
        <v>427</v>
      </c>
      <c r="K75" s="5" t="s">
        <v>428</v>
      </c>
      <c r="L75" s="5" t="s">
        <v>429</v>
      </c>
      <c r="M75" s="5" t="str">
        <f t="shared" si="4"/>
        <v>R8978 M192085</v>
      </c>
      <c r="N75" s="4" t="str">
        <f t="shared" ref="N75:N77" si="14">C75&amp;E75&amp;D75&amp;C75&amp;F75&amp;D75&amp;C75&amp;G75&amp;D75&amp;C75&amp;H75&amp;D75&amp;C75&amp;I75&amp;D75&amp;C75&amp;J75&amp;D75&amp;C75&amp;K75&amp;D75&amp;C75&amp;L75</f>
        <v>85:1&amp;85:2&amp;85:3&amp;85:4&amp;85:5&amp;85:6&amp;85:7&amp;85:8</v>
      </c>
      <c r="O75" s="4">
        <v>16</v>
      </c>
      <c r="P75" s="4" t="s">
        <v>399</v>
      </c>
      <c r="Q75" s="4" t="s">
        <v>400</v>
      </c>
      <c r="R75" s="4">
        <v>15.2</v>
      </c>
      <c r="S75" s="4">
        <v>1</v>
      </c>
    </row>
    <row r="76" ht="47.25" hidden="1" spans="1:19">
      <c r="A76" s="10" t="s">
        <v>152</v>
      </c>
      <c r="B76" s="5" t="s">
        <v>375</v>
      </c>
      <c r="C76" s="5">
        <f>填表说明!$AW$5</f>
        <v>85</v>
      </c>
      <c r="D76" s="5" t="s">
        <v>416</v>
      </c>
      <c r="E76" s="5" t="s">
        <v>417</v>
      </c>
      <c r="F76" s="5" t="s">
        <v>418</v>
      </c>
      <c r="G76" s="5" t="s">
        <v>419</v>
      </c>
      <c r="H76" s="5" t="s">
        <v>420</v>
      </c>
      <c r="I76" s="5" t="s">
        <v>426</v>
      </c>
      <c r="J76" s="5" t="s">
        <v>427</v>
      </c>
      <c r="K76" s="5" t="s">
        <v>428</v>
      </c>
      <c r="L76" s="5" t="s">
        <v>429</v>
      </c>
      <c r="M76" s="5" t="str">
        <f t="shared" si="4"/>
        <v>R8978 M1920A85</v>
      </c>
      <c r="N76" s="4" t="str">
        <f t="shared" si="14"/>
        <v>85:1&amp;85:2&amp;85:3&amp;85:4&amp;85:5&amp;85:6&amp;85:7&amp;85:8</v>
      </c>
      <c r="O76" s="4">
        <v>16</v>
      </c>
      <c r="P76" s="4" t="s">
        <v>399</v>
      </c>
      <c r="Q76" s="4" t="s">
        <v>400</v>
      </c>
      <c r="R76" s="4">
        <v>15.2</v>
      </c>
      <c r="S76" s="4">
        <v>1</v>
      </c>
    </row>
    <row r="77" ht="47.25" hidden="1" spans="1:19">
      <c r="A77" s="10" t="s">
        <v>288</v>
      </c>
      <c r="B77" s="5" t="s">
        <v>379</v>
      </c>
      <c r="C77" s="5">
        <f>填表说明!$AW$5</f>
        <v>85</v>
      </c>
      <c r="D77" s="5" t="s">
        <v>416</v>
      </c>
      <c r="E77" s="5" t="s">
        <v>417</v>
      </c>
      <c r="F77" s="5" t="s">
        <v>418</v>
      </c>
      <c r="G77" s="5" t="s">
        <v>419</v>
      </c>
      <c r="H77" s="5" t="s">
        <v>420</v>
      </c>
      <c r="I77" s="5" t="s">
        <v>426</v>
      </c>
      <c r="J77" s="5" t="s">
        <v>427</v>
      </c>
      <c r="K77" s="5" t="s">
        <v>428</v>
      </c>
      <c r="L77" s="5" t="s">
        <v>429</v>
      </c>
      <c r="M77" s="5" t="str">
        <f t="shared" si="4"/>
        <v>R8978 S2600W85</v>
      </c>
      <c r="N77" s="4" t="str">
        <f t="shared" si="14"/>
        <v>85:1&amp;85:2&amp;85:3&amp;85:4&amp;85:5&amp;85:6&amp;85:7&amp;85:8</v>
      </c>
      <c r="O77" s="4">
        <v>16</v>
      </c>
      <c r="P77" s="4" t="s">
        <v>399</v>
      </c>
      <c r="Q77" s="4" t="s">
        <v>400</v>
      </c>
      <c r="R77" s="4">
        <v>15.2</v>
      </c>
      <c r="S77" s="4">
        <v>1</v>
      </c>
    </row>
    <row r="78" ht="47.25" hidden="1" spans="1:19">
      <c r="A78" s="6" t="s">
        <v>408</v>
      </c>
      <c r="B78" s="5" t="s">
        <v>375</v>
      </c>
      <c r="C78" s="5">
        <f>填表说明!$AW$5</f>
        <v>85</v>
      </c>
      <c r="D78" s="5" t="s">
        <v>416</v>
      </c>
      <c r="E78" s="5" t="s">
        <v>417</v>
      </c>
      <c r="F78" s="5" t="s">
        <v>418</v>
      </c>
      <c r="G78" s="5"/>
      <c r="H78" s="5"/>
      <c r="I78" s="5"/>
      <c r="J78" s="5"/>
      <c r="K78" s="5"/>
      <c r="L78" s="5"/>
      <c r="M78" s="5" t="str">
        <f t="shared" si="4"/>
        <v>R8984 M19202685</v>
      </c>
      <c r="N78" s="4" t="str">
        <f t="shared" ref="N78:N81" si="15">C78&amp;E78&amp;D78&amp;C78&amp;F78</f>
        <v>85:1&amp;85:2</v>
      </c>
      <c r="O78" s="4">
        <v>252</v>
      </c>
      <c r="P78" s="4" t="s">
        <v>377</v>
      </c>
      <c r="Q78" s="4" t="s">
        <v>378</v>
      </c>
      <c r="R78" s="4">
        <v>15.2</v>
      </c>
      <c r="S78" s="4">
        <v>1</v>
      </c>
    </row>
    <row r="79" ht="47.25" hidden="1" spans="1:19">
      <c r="A79" s="7" t="s">
        <v>408</v>
      </c>
      <c r="B79" s="5" t="s">
        <v>379</v>
      </c>
      <c r="C79" s="5">
        <f>填表说明!$AW$5</f>
        <v>85</v>
      </c>
      <c r="D79" s="5" t="s">
        <v>416</v>
      </c>
      <c r="E79" s="5" t="s">
        <v>419</v>
      </c>
      <c r="F79" s="5" t="s">
        <v>420</v>
      </c>
      <c r="G79" s="5"/>
      <c r="H79" s="5"/>
      <c r="I79" s="5"/>
      <c r="J79" s="5"/>
      <c r="K79" s="5"/>
      <c r="L79" s="5"/>
      <c r="M79" s="5" t="str">
        <f t="shared" si="4"/>
        <v>R8984 M19202685</v>
      </c>
      <c r="N79" s="4" t="str">
        <f t="shared" si="15"/>
        <v>85:3&amp;85:4</v>
      </c>
      <c r="O79" s="4">
        <v>252</v>
      </c>
      <c r="P79" s="4" t="s">
        <v>381</v>
      </c>
      <c r="Q79" s="4" t="s">
        <v>382</v>
      </c>
      <c r="R79" s="4">
        <v>15.2</v>
      </c>
      <c r="S79" s="4">
        <v>1</v>
      </c>
    </row>
    <row r="80" ht="47.25" hidden="1" spans="1:19">
      <c r="A80" s="6" t="s">
        <v>363</v>
      </c>
      <c r="B80" s="5" t="s">
        <v>375</v>
      </c>
      <c r="C80" s="5">
        <f>填表说明!$AW$6</f>
        <v>86</v>
      </c>
      <c r="D80" s="5" t="s">
        <v>416</v>
      </c>
      <c r="E80" s="5" t="s">
        <v>417</v>
      </c>
      <c r="F80" s="5" t="s">
        <v>418</v>
      </c>
      <c r="G80" s="5"/>
      <c r="H80" s="5"/>
      <c r="I80" s="5"/>
      <c r="J80" s="5"/>
      <c r="K80" s="5"/>
      <c r="L80" s="5"/>
      <c r="M80" s="5" t="str">
        <f t="shared" si="4"/>
        <v>A8712 M19202686</v>
      </c>
      <c r="N80" s="4" t="str">
        <f t="shared" si="15"/>
        <v>86:1&amp;86:2</v>
      </c>
      <c r="O80" s="4">
        <v>202</v>
      </c>
      <c r="P80" s="4" t="s">
        <v>377</v>
      </c>
      <c r="Q80" s="4" t="s">
        <v>378</v>
      </c>
      <c r="R80" s="4">
        <v>12.2</v>
      </c>
      <c r="S80" s="4">
        <v>0</v>
      </c>
    </row>
    <row r="81" ht="47.25" hidden="1" spans="1:19">
      <c r="A81" s="7" t="s">
        <v>363</v>
      </c>
      <c r="B81" s="5" t="s">
        <v>379</v>
      </c>
      <c r="C81" s="5">
        <f>填表说明!$AW$6</f>
        <v>86</v>
      </c>
      <c r="D81" s="5" t="s">
        <v>416</v>
      </c>
      <c r="E81" s="5" t="s">
        <v>419</v>
      </c>
      <c r="F81" s="5" t="s">
        <v>420</v>
      </c>
      <c r="G81" s="5"/>
      <c r="H81" s="5"/>
      <c r="I81" s="5"/>
      <c r="J81" s="5"/>
      <c r="K81" s="5"/>
      <c r="L81" s="5"/>
      <c r="M81" s="5" t="str">
        <f t="shared" si="4"/>
        <v>A8712 M19202686</v>
      </c>
      <c r="N81" s="4" t="str">
        <f t="shared" si="15"/>
        <v>86:3&amp;86:4</v>
      </c>
      <c r="O81" s="4">
        <v>202</v>
      </c>
      <c r="P81" s="4" t="s">
        <v>381</v>
      </c>
      <c r="Q81" s="4" t="s">
        <v>382</v>
      </c>
      <c r="R81" s="4">
        <v>12.2</v>
      </c>
      <c r="S81" s="4">
        <v>0</v>
      </c>
    </row>
    <row r="82" ht="47.25" hidden="1" spans="1:19">
      <c r="A82" s="6" t="s">
        <v>383</v>
      </c>
      <c r="B82" s="8" t="s">
        <v>375</v>
      </c>
      <c r="C82" s="5">
        <f>填表说明!$AW$6</f>
        <v>86</v>
      </c>
      <c r="D82" s="5" t="s">
        <v>416</v>
      </c>
      <c r="E82" s="8" t="s">
        <v>417</v>
      </c>
      <c r="F82" s="8" t="s">
        <v>418</v>
      </c>
      <c r="G82" s="8" t="s">
        <v>419</v>
      </c>
      <c r="H82" s="8" t="s">
        <v>420</v>
      </c>
      <c r="I82" s="8"/>
      <c r="J82" s="8"/>
      <c r="K82" s="8"/>
      <c r="L82" s="8"/>
      <c r="M82" s="5" t="str">
        <f t="shared" si="4"/>
        <v>A8724 M19202686</v>
      </c>
      <c r="N82" s="9" t="str">
        <f>C82&amp;E82&amp;D82&amp;C82&amp;F82&amp;D82&amp;C82&amp;G82&amp;D82&amp;C82&amp;H82</f>
        <v>86:1&amp;86:2&amp;86:3&amp;86:4</v>
      </c>
      <c r="O82" s="4">
        <v>351</v>
      </c>
      <c r="P82" s="4" t="s">
        <v>385</v>
      </c>
      <c r="Q82" s="4" t="s">
        <v>386</v>
      </c>
      <c r="R82" s="4">
        <v>12.2</v>
      </c>
      <c r="S82" s="4">
        <v>1</v>
      </c>
    </row>
    <row r="83" ht="47.25" hidden="1" spans="1:19">
      <c r="A83" s="7" t="s">
        <v>383</v>
      </c>
      <c r="B83" s="8" t="s">
        <v>387</v>
      </c>
      <c r="C83" s="5">
        <f>填表说明!$AW$6</f>
        <v>86</v>
      </c>
      <c r="D83" s="5" t="s">
        <v>416</v>
      </c>
      <c r="E83" s="8" t="s">
        <v>426</v>
      </c>
      <c r="F83" s="8" t="s">
        <v>427</v>
      </c>
      <c r="G83" s="8" t="s">
        <v>428</v>
      </c>
      <c r="H83" s="8" t="s">
        <v>429</v>
      </c>
      <c r="I83" s="8"/>
      <c r="J83" s="8"/>
      <c r="K83" s="8"/>
      <c r="L83" s="8"/>
      <c r="M83" s="5" t="str">
        <f t="shared" si="4"/>
        <v>A8724 M19202686</v>
      </c>
      <c r="N83" s="9" t="str">
        <f>C83&amp;E83&amp;D83&amp;C83&amp;F83&amp;D83&amp;C83&amp;G83&amp;D83&amp;C83&amp;H83</f>
        <v>86:5&amp;86:6&amp;86:7&amp;86:8</v>
      </c>
      <c r="O83" s="4">
        <v>351</v>
      </c>
      <c r="P83" s="4" t="s">
        <v>389</v>
      </c>
      <c r="Q83" s="4" t="s">
        <v>390</v>
      </c>
      <c r="R83" s="4">
        <v>12.2</v>
      </c>
      <c r="S83" s="4">
        <v>1</v>
      </c>
    </row>
    <row r="84" ht="31.5" hidden="1" spans="1:19">
      <c r="A84" s="10" t="s">
        <v>352</v>
      </c>
      <c r="B84" s="5" t="s">
        <v>391</v>
      </c>
      <c r="C84" s="5">
        <f>填表说明!$AW$6</f>
        <v>86</v>
      </c>
      <c r="D84" s="5" t="s">
        <v>416</v>
      </c>
      <c r="E84" s="5" t="s">
        <v>418</v>
      </c>
      <c r="F84" s="5"/>
      <c r="G84" s="5"/>
      <c r="H84" s="5"/>
      <c r="I84" s="5"/>
      <c r="J84" s="5"/>
      <c r="K84" s="5"/>
      <c r="L84" s="5"/>
      <c r="M84" s="5" t="str">
        <f t="shared" si="4"/>
        <v>R8502 S230086</v>
      </c>
      <c r="N84" s="9" t="str">
        <f>C84&amp;E84</f>
        <v>86:2</v>
      </c>
      <c r="O84" s="4">
        <v>201</v>
      </c>
      <c r="P84" s="4" t="s">
        <v>393</v>
      </c>
      <c r="Q84" s="4" t="s">
        <v>394</v>
      </c>
      <c r="R84" s="4">
        <v>12.2</v>
      </c>
      <c r="S84" s="4">
        <v>0</v>
      </c>
    </row>
    <row r="85" ht="31.5" hidden="1" spans="1:19">
      <c r="A85" s="10" t="s">
        <v>395</v>
      </c>
      <c r="B85" s="5" t="s">
        <v>379</v>
      </c>
      <c r="C85" s="5">
        <f>填表说明!$AW$6</f>
        <v>86</v>
      </c>
      <c r="D85" s="5" t="s">
        <v>416</v>
      </c>
      <c r="E85" s="5" t="s">
        <v>417</v>
      </c>
      <c r="F85" s="5" t="s">
        <v>418</v>
      </c>
      <c r="G85" s="5"/>
      <c r="H85" s="5"/>
      <c r="I85" s="5"/>
      <c r="J85" s="5"/>
      <c r="K85" s="5"/>
      <c r="L85" s="5"/>
      <c r="M85" s="5" t="str">
        <f t="shared" si="4"/>
        <v>R8502 S260086</v>
      </c>
      <c r="N85" s="4" t="str">
        <f t="shared" ref="N85:N88" si="16">C85&amp;E85&amp;D85&amp;C85&amp;F85</f>
        <v>86:1&amp;86:2</v>
      </c>
      <c r="O85" s="4" t="s">
        <v>396</v>
      </c>
      <c r="P85" s="4" t="s">
        <v>377</v>
      </c>
      <c r="Q85" s="4" t="s">
        <v>378</v>
      </c>
      <c r="R85" s="4">
        <v>12.2</v>
      </c>
      <c r="S85" s="4">
        <v>0</v>
      </c>
    </row>
    <row r="86" ht="31.5" hidden="1" spans="1:19">
      <c r="A86" s="10" t="s">
        <v>397</v>
      </c>
      <c r="B86" s="5" t="s">
        <v>379</v>
      </c>
      <c r="C86" s="5">
        <f>填表说明!$AW$6</f>
        <v>86</v>
      </c>
      <c r="D86" s="5" t="s">
        <v>416</v>
      </c>
      <c r="E86" s="5" t="s">
        <v>417</v>
      </c>
      <c r="F86" s="5" t="s">
        <v>418</v>
      </c>
      <c r="G86" s="5"/>
      <c r="H86" s="5"/>
      <c r="I86" s="5"/>
      <c r="J86" s="5"/>
      <c r="K86" s="5"/>
      <c r="L86" s="5"/>
      <c r="M86" s="5" t="str">
        <f t="shared" si="4"/>
        <v>R8502E S260086</v>
      </c>
      <c r="N86" s="4" t="str">
        <f t="shared" si="16"/>
        <v>86:1&amp;86:2</v>
      </c>
      <c r="O86" s="4" t="s">
        <v>396</v>
      </c>
      <c r="P86" s="4" t="s">
        <v>377</v>
      </c>
      <c r="Q86" s="4" t="s">
        <v>378</v>
      </c>
      <c r="R86" s="4">
        <v>12.2</v>
      </c>
      <c r="S86" s="4">
        <v>0</v>
      </c>
    </row>
    <row r="87" ht="31.5" hidden="1" spans="1:19">
      <c r="A87" s="10" t="s">
        <v>276</v>
      </c>
      <c r="B87" s="5" t="s">
        <v>375</v>
      </c>
      <c r="C87" s="5">
        <f>填表说明!$AW$6</f>
        <v>86</v>
      </c>
      <c r="D87" s="5" t="s">
        <v>416</v>
      </c>
      <c r="E87" s="5" t="s">
        <v>417</v>
      </c>
      <c r="F87" s="5" t="s">
        <v>418</v>
      </c>
      <c r="G87" s="5" t="s">
        <v>419</v>
      </c>
      <c r="H87" s="5" t="s">
        <v>420</v>
      </c>
      <c r="I87" s="5" t="s">
        <v>426</v>
      </c>
      <c r="J87" s="5" t="s">
        <v>427</v>
      </c>
      <c r="K87" s="5" t="s">
        <v>428</v>
      </c>
      <c r="L87" s="5" t="s">
        <v>429</v>
      </c>
      <c r="M87" s="5" t="str">
        <f t="shared" si="4"/>
        <v>R8968E M192086</v>
      </c>
      <c r="N87" s="4" t="str">
        <f>C87&amp;E87&amp;D87&amp;C87&amp;F87&amp;D87&amp;C87&amp;G87&amp;D87&amp;C87&amp;H87&amp;D87&amp;C87&amp;I87&amp;D87&amp;C87&amp;J87&amp;D87&amp;C87&amp;K87&amp;D87&amp;C87&amp;L87</f>
        <v>86:1&amp;86:2&amp;86:3&amp;86:4&amp;86:5&amp;86:6&amp;86:7&amp;86:8</v>
      </c>
      <c r="O87" s="4">
        <v>16</v>
      </c>
      <c r="P87" s="4" t="s">
        <v>399</v>
      </c>
      <c r="Q87" s="4" t="s">
        <v>400</v>
      </c>
      <c r="R87" s="4">
        <v>15.2</v>
      </c>
      <c r="S87" s="4">
        <v>1</v>
      </c>
    </row>
    <row r="88" ht="31.5" hidden="1" spans="1:19">
      <c r="A88" s="10" t="s">
        <v>293</v>
      </c>
      <c r="B88" s="5" t="s">
        <v>375</v>
      </c>
      <c r="C88" s="5">
        <f>填表说明!$AW$6</f>
        <v>86</v>
      </c>
      <c r="D88" s="5" t="s">
        <v>416</v>
      </c>
      <c r="E88" s="5" t="s">
        <v>417</v>
      </c>
      <c r="F88" s="5" t="s">
        <v>418</v>
      </c>
      <c r="G88" s="5"/>
      <c r="H88" s="5"/>
      <c r="I88" s="5"/>
      <c r="J88" s="5"/>
      <c r="K88" s="5"/>
      <c r="L88" s="5"/>
      <c r="M88" s="5" t="str">
        <f t="shared" si="4"/>
        <v>R8972 M192086</v>
      </c>
      <c r="N88" s="4" t="str">
        <f t="shared" si="16"/>
        <v>86:1&amp;86:2</v>
      </c>
      <c r="O88" s="4" t="s">
        <v>396</v>
      </c>
      <c r="P88" s="4" t="s">
        <v>377</v>
      </c>
      <c r="Q88" s="4" t="s">
        <v>378</v>
      </c>
      <c r="R88" s="4">
        <v>15.2</v>
      </c>
      <c r="S88" s="4">
        <v>0</v>
      </c>
    </row>
    <row r="89" ht="47.25" hidden="1" spans="1:19">
      <c r="A89" s="6" t="s">
        <v>401</v>
      </c>
      <c r="B89" s="5" t="s">
        <v>375</v>
      </c>
      <c r="C89" s="5">
        <f>填表说明!$AW$6</f>
        <v>86</v>
      </c>
      <c r="D89" s="5" t="s">
        <v>416</v>
      </c>
      <c r="E89" s="5" t="s">
        <v>417</v>
      </c>
      <c r="F89" s="5"/>
      <c r="G89" s="5"/>
      <c r="H89" s="5"/>
      <c r="I89" s="5"/>
      <c r="J89" s="5"/>
      <c r="K89" s="5"/>
      <c r="L89" s="5"/>
      <c r="M89" s="5" t="str">
        <f t="shared" si="4"/>
        <v>R8972 M19202386</v>
      </c>
      <c r="N89" s="9" t="str">
        <f>C89&amp;E89</f>
        <v>86:1</v>
      </c>
      <c r="O89" s="4">
        <v>201</v>
      </c>
      <c r="P89" s="4" t="s">
        <v>403</v>
      </c>
      <c r="Q89" s="4" t="s">
        <v>404</v>
      </c>
      <c r="R89" s="4">
        <v>15.2</v>
      </c>
      <c r="S89" s="4">
        <v>0</v>
      </c>
    </row>
    <row r="90" ht="47.25" hidden="1" spans="1:19">
      <c r="A90" s="7" t="s">
        <v>401</v>
      </c>
      <c r="B90" s="5" t="s">
        <v>391</v>
      </c>
      <c r="C90" s="5">
        <f>填表说明!$AW$6</f>
        <v>86</v>
      </c>
      <c r="D90" s="5" t="s">
        <v>416</v>
      </c>
      <c r="E90" s="5" t="s">
        <v>418</v>
      </c>
      <c r="F90" s="5"/>
      <c r="G90" s="5"/>
      <c r="H90" s="5"/>
      <c r="I90" s="5"/>
      <c r="J90" s="5"/>
      <c r="K90" s="5"/>
      <c r="L90" s="5"/>
      <c r="M90" s="5" t="str">
        <f t="shared" si="4"/>
        <v>R8972 M19202386</v>
      </c>
      <c r="N90" s="9" t="str">
        <f>C90&amp;E90</f>
        <v>86:2</v>
      </c>
      <c r="O90" s="4">
        <v>201</v>
      </c>
      <c r="P90" s="4" t="s">
        <v>393</v>
      </c>
      <c r="Q90" s="4" t="s">
        <v>394</v>
      </c>
      <c r="R90" s="4">
        <v>15.2</v>
      </c>
      <c r="S90" s="4">
        <v>0</v>
      </c>
    </row>
    <row r="91" ht="31.5" hidden="1" spans="1:19">
      <c r="A91" s="10" t="s">
        <v>405</v>
      </c>
      <c r="B91" s="5" t="s">
        <v>391</v>
      </c>
      <c r="C91" s="5">
        <f>填表说明!$AW$6</f>
        <v>86</v>
      </c>
      <c r="D91" s="5" t="s">
        <v>416</v>
      </c>
      <c r="E91" s="5" t="s">
        <v>417</v>
      </c>
      <c r="F91" s="5" t="s">
        <v>418</v>
      </c>
      <c r="G91" s="5"/>
      <c r="H91" s="5"/>
      <c r="I91" s="5"/>
      <c r="J91" s="5"/>
      <c r="K91" s="5"/>
      <c r="L91" s="5"/>
      <c r="M91" s="5" t="str">
        <f t="shared" si="4"/>
        <v>R8972 S230086</v>
      </c>
      <c r="N91" s="4" t="str">
        <f>C91&amp;E91&amp;D91&amp;C91&amp;F91</f>
        <v>86:1&amp;86:2</v>
      </c>
      <c r="O91" s="4" t="s">
        <v>396</v>
      </c>
      <c r="P91" s="4" t="s">
        <v>377</v>
      </c>
      <c r="Q91" s="4" t="s">
        <v>378</v>
      </c>
      <c r="R91" s="4">
        <v>15.2</v>
      </c>
      <c r="S91" s="4">
        <v>0</v>
      </c>
    </row>
    <row r="92" ht="31.5" hidden="1" spans="1:19">
      <c r="A92" s="10" t="s">
        <v>348</v>
      </c>
      <c r="B92" s="5" t="s">
        <v>375</v>
      </c>
      <c r="C92" s="5">
        <f>填表说明!$AW$6</f>
        <v>86</v>
      </c>
      <c r="D92" s="5" t="s">
        <v>416</v>
      </c>
      <c r="E92" s="5" t="s">
        <v>417</v>
      </c>
      <c r="F92" s="5" t="s">
        <v>418</v>
      </c>
      <c r="G92" s="5"/>
      <c r="H92" s="5"/>
      <c r="I92" s="5"/>
      <c r="J92" s="5"/>
      <c r="K92" s="5"/>
      <c r="L92" s="5"/>
      <c r="M92" s="5" t="str">
        <f t="shared" ref="M92:M105" si="17">A92&amp;C92</f>
        <v>R8972E M192086</v>
      </c>
      <c r="N92" s="4" t="str">
        <f>C92&amp;E92&amp;D92&amp;C92&amp;F92</f>
        <v>86:1&amp;86:2</v>
      </c>
      <c r="O92" s="4" t="s">
        <v>396</v>
      </c>
      <c r="P92" s="4" t="s">
        <v>377</v>
      </c>
      <c r="Q92" s="4" t="s">
        <v>378</v>
      </c>
      <c r="R92" s="4">
        <v>15.2</v>
      </c>
      <c r="S92" s="4">
        <v>0</v>
      </c>
    </row>
    <row r="93" ht="47.25" hidden="1" spans="1:19">
      <c r="A93" s="6" t="s">
        <v>294</v>
      </c>
      <c r="B93" s="5" t="s">
        <v>375</v>
      </c>
      <c r="C93" s="5">
        <f>填表说明!$AW$6</f>
        <v>86</v>
      </c>
      <c r="D93" s="5" t="s">
        <v>416</v>
      </c>
      <c r="E93" s="5" t="s">
        <v>417</v>
      </c>
      <c r="F93" s="5"/>
      <c r="G93" s="5"/>
      <c r="H93" s="5"/>
      <c r="I93" s="5"/>
      <c r="J93" s="5"/>
      <c r="K93" s="5"/>
      <c r="L93" s="5"/>
      <c r="M93" s="5" t="str">
        <f t="shared" si="17"/>
        <v>R8972E M19202386</v>
      </c>
      <c r="N93" s="4" t="str">
        <f t="shared" ref="N93:N96" si="18">C93&amp;E93&amp;D93</f>
        <v>86:1&amp;</v>
      </c>
      <c r="O93" s="4">
        <v>201</v>
      </c>
      <c r="P93" s="4" t="s">
        <v>403</v>
      </c>
      <c r="Q93" s="4" t="s">
        <v>404</v>
      </c>
      <c r="R93" s="4">
        <v>15.2</v>
      </c>
      <c r="S93" s="4">
        <v>0</v>
      </c>
    </row>
    <row r="94" ht="47.25" hidden="1" spans="1:19">
      <c r="A94" s="7" t="s">
        <v>294</v>
      </c>
      <c r="B94" s="5" t="s">
        <v>391</v>
      </c>
      <c r="C94" s="5">
        <f>填表说明!$AW$6</f>
        <v>86</v>
      </c>
      <c r="D94" s="5" t="s">
        <v>416</v>
      </c>
      <c r="E94" s="5" t="s">
        <v>418</v>
      </c>
      <c r="F94" s="5"/>
      <c r="G94" s="5"/>
      <c r="H94" s="5"/>
      <c r="I94" s="5"/>
      <c r="J94" s="5"/>
      <c r="K94" s="5"/>
      <c r="L94" s="5"/>
      <c r="M94" s="5" t="str">
        <f t="shared" si="17"/>
        <v>R8972E M19202386</v>
      </c>
      <c r="N94" s="4" t="str">
        <f t="shared" si="18"/>
        <v>86:2&amp;</v>
      </c>
      <c r="O94" s="4">
        <v>201</v>
      </c>
      <c r="P94" s="4" t="s">
        <v>393</v>
      </c>
      <c r="Q94" s="4" t="s">
        <v>394</v>
      </c>
      <c r="R94" s="4">
        <v>15.2</v>
      </c>
      <c r="S94" s="4">
        <v>0</v>
      </c>
    </row>
    <row r="95" ht="47.25" hidden="1" spans="1:19">
      <c r="A95" s="6" t="s">
        <v>358</v>
      </c>
      <c r="B95" s="5" t="s">
        <v>375</v>
      </c>
      <c r="C95" s="5">
        <f>填表说明!$AW$6</f>
        <v>86</v>
      </c>
      <c r="D95" s="5" t="s">
        <v>416</v>
      </c>
      <c r="E95" s="5" t="s">
        <v>417</v>
      </c>
      <c r="F95" s="5"/>
      <c r="G95" s="5"/>
      <c r="H95" s="5"/>
      <c r="I95" s="5"/>
      <c r="J95" s="5"/>
      <c r="K95" s="5"/>
      <c r="L95" s="5"/>
      <c r="M95" s="5" t="str">
        <f t="shared" si="17"/>
        <v>R8972E M192023A86</v>
      </c>
      <c r="N95" s="4" t="str">
        <f t="shared" si="18"/>
        <v>86:1&amp;</v>
      </c>
      <c r="O95" s="4">
        <v>201</v>
      </c>
      <c r="P95" s="4" t="s">
        <v>403</v>
      </c>
      <c r="Q95" s="4" t="s">
        <v>404</v>
      </c>
      <c r="R95" s="4">
        <v>15.2</v>
      </c>
      <c r="S95" s="4">
        <v>0</v>
      </c>
    </row>
    <row r="96" ht="47.25" hidden="1" spans="1:19">
      <c r="A96" s="7" t="s">
        <v>358</v>
      </c>
      <c r="B96" s="5" t="s">
        <v>406</v>
      </c>
      <c r="C96" s="5">
        <f>填表说明!$AW$6</f>
        <v>86</v>
      </c>
      <c r="D96" s="5" t="s">
        <v>416</v>
      </c>
      <c r="E96" s="5" t="s">
        <v>418</v>
      </c>
      <c r="F96" s="5"/>
      <c r="G96" s="5"/>
      <c r="H96" s="5"/>
      <c r="I96" s="5"/>
      <c r="J96" s="5"/>
      <c r="K96" s="5"/>
      <c r="L96" s="5"/>
      <c r="M96" s="5" t="str">
        <f t="shared" si="17"/>
        <v>R8972E M192023A86</v>
      </c>
      <c r="N96" s="4" t="str">
        <f t="shared" si="18"/>
        <v>86:2&amp;</v>
      </c>
      <c r="O96" s="4">
        <v>201</v>
      </c>
      <c r="P96" s="4" t="s">
        <v>393</v>
      </c>
      <c r="Q96" s="4" t="s">
        <v>394</v>
      </c>
      <c r="R96" s="4">
        <v>15.2</v>
      </c>
      <c r="S96" s="4">
        <v>0</v>
      </c>
    </row>
    <row r="97" ht="47.25" hidden="1" spans="1:19">
      <c r="A97" s="10" t="s">
        <v>251</v>
      </c>
      <c r="B97" s="5" t="s">
        <v>375</v>
      </c>
      <c r="C97" s="5">
        <f>填表说明!$AW$6</f>
        <v>86</v>
      </c>
      <c r="D97" s="5" t="s">
        <v>416</v>
      </c>
      <c r="E97" s="5" t="s">
        <v>417</v>
      </c>
      <c r="F97" s="5" t="s">
        <v>418</v>
      </c>
      <c r="G97" s="5"/>
      <c r="H97" s="5"/>
      <c r="I97" s="5"/>
      <c r="J97" s="5"/>
      <c r="K97" s="5"/>
      <c r="L97" s="5"/>
      <c r="M97" s="5" t="str">
        <f t="shared" si="17"/>
        <v>R8972E M1920A86</v>
      </c>
      <c r="N97" s="4" t="str">
        <f t="shared" ref="N97:N100" si="19">C97&amp;E97&amp;D97&amp;C97&amp;F97</f>
        <v>86:1&amp;86:2</v>
      </c>
      <c r="O97" s="4" t="s">
        <v>396</v>
      </c>
      <c r="P97" s="4" t="s">
        <v>377</v>
      </c>
      <c r="Q97" s="4" t="s">
        <v>378</v>
      </c>
      <c r="R97" s="4">
        <v>15.2</v>
      </c>
      <c r="S97" s="4">
        <v>0</v>
      </c>
    </row>
    <row r="98" ht="31.5" hidden="1" spans="1:19">
      <c r="A98" s="10" t="s">
        <v>407</v>
      </c>
      <c r="B98" s="5" t="s">
        <v>391</v>
      </c>
      <c r="C98" s="5">
        <f>填表说明!$AW$6</f>
        <v>86</v>
      </c>
      <c r="D98" s="5" t="s">
        <v>416</v>
      </c>
      <c r="E98" s="5" t="s">
        <v>417</v>
      </c>
      <c r="F98" s="5" t="s">
        <v>418</v>
      </c>
      <c r="G98" s="5"/>
      <c r="H98" s="5"/>
      <c r="I98" s="5"/>
      <c r="J98" s="5"/>
      <c r="K98" s="5"/>
      <c r="L98" s="5"/>
      <c r="M98" s="5" t="str">
        <f t="shared" si="17"/>
        <v>R8972E S230086</v>
      </c>
      <c r="N98" s="4" t="str">
        <f t="shared" si="19"/>
        <v>86:1&amp;86:2</v>
      </c>
      <c r="O98" s="4" t="s">
        <v>396</v>
      </c>
      <c r="P98" s="4" t="s">
        <v>377</v>
      </c>
      <c r="Q98" s="4" t="s">
        <v>378</v>
      </c>
      <c r="R98" s="4">
        <v>15.2</v>
      </c>
      <c r="S98" s="4">
        <v>0</v>
      </c>
    </row>
    <row r="99" ht="47.25" hidden="1" spans="1:19">
      <c r="A99" s="10" t="s">
        <v>353</v>
      </c>
      <c r="B99" s="5" t="s">
        <v>391</v>
      </c>
      <c r="C99" s="5">
        <f>填表说明!$AW$6</f>
        <v>86</v>
      </c>
      <c r="D99" s="5" t="s">
        <v>416</v>
      </c>
      <c r="E99" s="5" t="s">
        <v>417</v>
      </c>
      <c r="F99" s="5" t="s">
        <v>418</v>
      </c>
      <c r="G99" s="5"/>
      <c r="H99" s="5"/>
      <c r="I99" s="5"/>
      <c r="J99" s="5"/>
      <c r="K99" s="5"/>
      <c r="L99" s="5"/>
      <c r="M99" s="5" t="str">
        <f t="shared" si="17"/>
        <v>R8972E S2300W86</v>
      </c>
      <c r="N99" s="4" t="str">
        <f t="shared" si="19"/>
        <v>86:1&amp;86:2</v>
      </c>
      <c r="O99" s="4" t="s">
        <v>396</v>
      </c>
      <c r="P99" s="4" t="s">
        <v>377</v>
      </c>
      <c r="Q99" s="4" t="s">
        <v>378</v>
      </c>
      <c r="R99" s="4">
        <v>15.2</v>
      </c>
      <c r="S99" s="4">
        <v>0</v>
      </c>
    </row>
    <row r="100" ht="47.25" hidden="1" spans="1:19">
      <c r="A100" s="10" t="s">
        <v>350</v>
      </c>
      <c r="B100" s="5" t="s">
        <v>379</v>
      </c>
      <c r="C100" s="5">
        <f>填表说明!$AW$6</f>
        <v>86</v>
      </c>
      <c r="D100" s="5" t="s">
        <v>416</v>
      </c>
      <c r="E100" s="5" t="s">
        <v>417</v>
      </c>
      <c r="F100" s="5" t="s">
        <v>418</v>
      </c>
      <c r="G100" s="5"/>
      <c r="H100" s="5"/>
      <c r="I100" s="5"/>
      <c r="J100" s="5"/>
      <c r="K100" s="5"/>
      <c r="L100" s="5"/>
      <c r="M100" s="5" t="str">
        <f t="shared" si="17"/>
        <v>R8972E S2600W86</v>
      </c>
      <c r="N100" s="4" t="str">
        <f t="shared" si="19"/>
        <v>86:1&amp;86:2</v>
      </c>
      <c r="O100" s="4" t="s">
        <v>396</v>
      </c>
      <c r="P100" s="4" t="s">
        <v>377</v>
      </c>
      <c r="Q100" s="4" t="s">
        <v>378</v>
      </c>
      <c r="R100" s="4">
        <v>15.2</v>
      </c>
      <c r="S100" s="4">
        <v>0</v>
      </c>
    </row>
    <row r="101" ht="31.5" hidden="1" spans="1:19">
      <c r="A101" s="10" t="s">
        <v>256</v>
      </c>
      <c r="B101" s="5" t="s">
        <v>375</v>
      </c>
      <c r="C101" s="5">
        <f>填表说明!$AW$6</f>
        <v>86</v>
      </c>
      <c r="D101" s="5" t="s">
        <v>416</v>
      </c>
      <c r="E101" s="5" t="s">
        <v>417</v>
      </c>
      <c r="F101" s="5" t="s">
        <v>418</v>
      </c>
      <c r="G101" s="5" t="s">
        <v>419</v>
      </c>
      <c r="H101" s="5" t="s">
        <v>420</v>
      </c>
      <c r="I101" s="5" t="s">
        <v>426</v>
      </c>
      <c r="J101" s="5" t="s">
        <v>427</v>
      </c>
      <c r="K101" s="5" t="s">
        <v>428</v>
      </c>
      <c r="L101" s="5" t="s">
        <v>429</v>
      </c>
      <c r="M101" s="5" t="str">
        <f t="shared" si="17"/>
        <v>R8978 M192086</v>
      </c>
      <c r="N101" s="4" t="str">
        <f t="shared" ref="N101:N103" si="20">C101&amp;E101&amp;D101&amp;C101&amp;F101&amp;D101&amp;C101&amp;G101&amp;D101&amp;C101&amp;H101&amp;D101&amp;C101&amp;I101&amp;D101&amp;C101&amp;J101&amp;D101&amp;C101&amp;K101&amp;D101&amp;C101&amp;L101</f>
        <v>86:1&amp;86:2&amp;86:3&amp;86:4&amp;86:5&amp;86:6&amp;86:7&amp;86:8</v>
      </c>
      <c r="O101" s="4">
        <v>16</v>
      </c>
      <c r="P101" s="4" t="s">
        <v>399</v>
      </c>
      <c r="Q101" s="4" t="s">
        <v>400</v>
      </c>
      <c r="R101" s="4">
        <v>15.2</v>
      </c>
      <c r="S101" s="4">
        <v>1</v>
      </c>
    </row>
    <row r="102" ht="47.25" hidden="1" spans="1:19">
      <c r="A102" s="10" t="s">
        <v>152</v>
      </c>
      <c r="B102" s="5" t="s">
        <v>375</v>
      </c>
      <c r="C102" s="5">
        <f>填表说明!$AW$6</f>
        <v>86</v>
      </c>
      <c r="D102" s="5" t="s">
        <v>416</v>
      </c>
      <c r="E102" s="5" t="s">
        <v>417</v>
      </c>
      <c r="F102" s="5" t="s">
        <v>418</v>
      </c>
      <c r="G102" s="5" t="s">
        <v>419</v>
      </c>
      <c r="H102" s="5" t="s">
        <v>420</v>
      </c>
      <c r="I102" s="5" t="s">
        <v>426</v>
      </c>
      <c r="J102" s="5" t="s">
        <v>427</v>
      </c>
      <c r="K102" s="5" t="s">
        <v>428</v>
      </c>
      <c r="L102" s="5" t="s">
        <v>429</v>
      </c>
      <c r="M102" s="5" t="str">
        <f t="shared" si="17"/>
        <v>R8978 M1920A86</v>
      </c>
      <c r="N102" s="4" t="str">
        <f t="shared" si="20"/>
        <v>86:1&amp;86:2&amp;86:3&amp;86:4&amp;86:5&amp;86:6&amp;86:7&amp;86:8</v>
      </c>
      <c r="O102" s="4">
        <v>16</v>
      </c>
      <c r="P102" s="4" t="s">
        <v>399</v>
      </c>
      <c r="Q102" s="4" t="s">
        <v>400</v>
      </c>
      <c r="R102" s="4">
        <v>15.2</v>
      </c>
      <c r="S102" s="4">
        <v>1</v>
      </c>
    </row>
    <row r="103" ht="47.25" hidden="1" spans="1:19">
      <c r="A103" s="10" t="s">
        <v>288</v>
      </c>
      <c r="B103" s="5" t="s">
        <v>379</v>
      </c>
      <c r="C103" s="5">
        <f>填表说明!$AW$6</f>
        <v>86</v>
      </c>
      <c r="D103" s="5" t="s">
        <v>416</v>
      </c>
      <c r="E103" s="5" t="s">
        <v>417</v>
      </c>
      <c r="F103" s="5" t="s">
        <v>418</v>
      </c>
      <c r="G103" s="5" t="s">
        <v>419</v>
      </c>
      <c r="H103" s="5" t="s">
        <v>420</v>
      </c>
      <c r="I103" s="5" t="s">
        <v>426</v>
      </c>
      <c r="J103" s="5" t="s">
        <v>427</v>
      </c>
      <c r="K103" s="5" t="s">
        <v>428</v>
      </c>
      <c r="L103" s="5" t="s">
        <v>429</v>
      </c>
      <c r="M103" s="5" t="str">
        <f t="shared" si="17"/>
        <v>R8978 S2600W86</v>
      </c>
      <c r="N103" s="4" t="str">
        <f t="shared" si="20"/>
        <v>86:1&amp;86:2&amp;86:3&amp;86:4&amp;86:5&amp;86:6&amp;86:7&amp;86:8</v>
      </c>
      <c r="O103" s="4">
        <v>16</v>
      </c>
      <c r="P103" s="4" t="s">
        <v>399</v>
      </c>
      <c r="Q103" s="4" t="s">
        <v>400</v>
      </c>
      <c r="R103" s="4">
        <v>15.2</v>
      </c>
      <c r="S103" s="4">
        <v>1</v>
      </c>
    </row>
    <row r="104" ht="47.25" hidden="1" spans="1:19">
      <c r="A104" s="6" t="s">
        <v>408</v>
      </c>
      <c r="B104" s="5" t="s">
        <v>375</v>
      </c>
      <c r="C104" s="5">
        <f>填表说明!$AW$6</f>
        <v>86</v>
      </c>
      <c r="D104" s="5" t="s">
        <v>416</v>
      </c>
      <c r="E104" s="5" t="s">
        <v>417</v>
      </c>
      <c r="F104" s="5" t="s">
        <v>418</v>
      </c>
      <c r="G104" s="5"/>
      <c r="H104" s="5"/>
      <c r="I104" s="5"/>
      <c r="J104" s="5"/>
      <c r="K104" s="5"/>
      <c r="L104" s="5"/>
      <c r="M104" s="5" t="str">
        <f t="shared" si="17"/>
        <v>R8984 M19202686</v>
      </c>
      <c r="N104" s="4" t="str">
        <f>C104&amp;E104&amp;D104&amp;C104&amp;F104</f>
        <v>86:1&amp;86:2</v>
      </c>
      <c r="O104" s="4">
        <v>252</v>
      </c>
      <c r="P104" s="4" t="s">
        <v>377</v>
      </c>
      <c r="Q104" s="4" t="s">
        <v>378</v>
      </c>
      <c r="R104" s="4">
        <v>15.2</v>
      </c>
      <c r="S104" s="4">
        <v>1</v>
      </c>
    </row>
    <row r="105" ht="47.25" hidden="1" spans="1:19">
      <c r="A105" s="7" t="s">
        <v>408</v>
      </c>
      <c r="B105" s="5" t="s">
        <v>379</v>
      </c>
      <c r="C105" s="5">
        <f>填表说明!$AW$6</f>
        <v>86</v>
      </c>
      <c r="D105" s="5" t="s">
        <v>416</v>
      </c>
      <c r="E105" s="5" t="s">
        <v>419</v>
      </c>
      <c r="F105" s="5" t="s">
        <v>420</v>
      </c>
      <c r="G105" s="5"/>
      <c r="H105" s="5"/>
      <c r="I105" s="5"/>
      <c r="J105" s="5"/>
      <c r="K105" s="5"/>
      <c r="L105" s="5"/>
      <c r="M105" s="5" t="str">
        <f t="shared" si="17"/>
        <v>R8984 M19202686</v>
      </c>
      <c r="N105" s="4" t="str">
        <f>C105&amp;E105&amp;D105&amp;C105&amp;F105</f>
        <v>86:3&amp;86:4</v>
      </c>
      <c r="O105" s="4">
        <v>252</v>
      </c>
      <c r="P105" s="4" t="s">
        <v>381</v>
      </c>
      <c r="Q105" s="4" t="s">
        <v>382</v>
      </c>
      <c r="R105" s="4">
        <v>15.2</v>
      </c>
      <c r="S105" s="4">
        <v>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E11"/>
  <sheetViews>
    <sheetView workbookViewId="0">
      <selection activeCell="A3" sqref="A3"/>
    </sheetView>
  </sheetViews>
  <sheetFormatPr defaultColWidth="8.89166666666667" defaultRowHeight="13.5" outlineLevelCol="4"/>
  <cols>
    <col min="1" max="1" width="34.4416666666667" customWidth="1"/>
    <col min="2" max="2" width="36.8916666666667" customWidth="1"/>
  </cols>
  <sheetData>
    <row r="1" ht="14.25" spans="1:5">
      <c r="A1" s="1" t="s">
        <v>430</v>
      </c>
      <c r="B1" s="1" t="s">
        <v>431</v>
      </c>
      <c r="D1" t="s">
        <v>227</v>
      </c>
      <c r="E1" s="2" t="s">
        <v>432</v>
      </c>
    </row>
    <row r="2" ht="14.25" spans="1:5">
      <c r="A2" s="3" t="s">
        <v>433</v>
      </c>
      <c r="B2" s="3" t="s">
        <v>434</v>
      </c>
      <c r="D2" t="s">
        <v>238</v>
      </c>
      <c r="E2" s="2" t="s">
        <v>435</v>
      </c>
    </row>
    <row r="3" ht="14.25" spans="1:5">
      <c r="A3" s="3" t="s">
        <v>436</v>
      </c>
      <c r="B3" s="3" t="s">
        <v>437</v>
      </c>
      <c r="D3" t="s">
        <v>249</v>
      </c>
      <c r="E3" s="2" t="s">
        <v>438</v>
      </c>
    </row>
    <row r="4" ht="14.25" spans="1:5">
      <c r="A4" s="3" t="s">
        <v>439</v>
      </c>
      <c r="B4" s="3" t="s">
        <v>440</v>
      </c>
      <c r="D4" t="s">
        <v>254</v>
      </c>
      <c r="E4" s="2" t="s">
        <v>441</v>
      </c>
    </row>
    <row r="5" ht="14.25" spans="1:5">
      <c r="A5" s="3" t="s">
        <v>442</v>
      </c>
      <c r="B5" s="3" t="s">
        <v>443</v>
      </c>
      <c r="D5">
        <v>16</v>
      </c>
      <c r="E5" s="2" t="s">
        <v>438</v>
      </c>
    </row>
    <row r="6" ht="14.25" spans="1:5">
      <c r="A6" s="3" t="s">
        <v>444</v>
      </c>
      <c r="B6" s="3" t="s">
        <v>445</v>
      </c>
      <c r="D6">
        <v>32</v>
      </c>
      <c r="E6" s="2" t="s">
        <v>438</v>
      </c>
    </row>
    <row r="7" ht="14.25" spans="1:5">
      <c r="A7" s="3" t="s">
        <v>446</v>
      </c>
      <c r="B7" s="3" t="s">
        <v>447</v>
      </c>
    </row>
    <row r="8" ht="14.25" spans="1:5">
      <c r="A8" s="3" t="s">
        <v>448</v>
      </c>
      <c r="B8" s="3" t="s">
        <v>449</v>
      </c>
    </row>
    <row r="9" ht="14.25" spans="1:5">
      <c r="A9" s="3" t="s">
        <v>450</v>
      </c>
      <c r="B9" s="3" t="s">
        <v>451</v>
      </c>
    </row>
    <row r="10" ht="14.25" spans="1:5">
      <c r="A10" s="3" t="s">
        <v>452</v>
      </c>
      <c r="B10" s="3" t="s">
        <v>453</v>
      </c>
    </row>
    <row r="11" ht="14.25" spans="1:5">
      <c r="A11" s="3" t="s">
        <v>454</v>
      </c>
      <c r="B11" s="3" t="s">
        <v>453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北京有限公司</Company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RANCM-sdrPlan</vt:lpstr>
      <vt:lpstr>填表说明</vt:lpstr>
      <vt:lpstr>RRU</vt:lpstr>
      <vt:lpstr>基带板主控板说明</vt:lpstr>
      <vt:lpstr>RRU频段及通道配置TDD</vt:lpstr>
      <vt:lpstr>RRU频段及通道配置FDD</vt:lpstr>
      <vt:lpstr>SCTP描述信息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WXL</dc:creator>
  <cp:lastModifiedBy>mmyeeeeiu</cp:lastModifiedBy>
  <dcterms:created xsi:type="dcterms:W3CDTF">2026-01-26T07:42:00Z</dcterms:created>
  <dcterms:modified xsi:type="dcterms:W3CDTF">2026-04-28T08:30:40Z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7F55A4F528AD4629A51C28097A42303D_13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